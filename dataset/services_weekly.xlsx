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\Hospital Bed Occupancy &amp; Capacity Utilization Analysis\dataset\"/>
    </mc:Choice>
  </mc:AlternateContent>
  <xr:revisionPtr revIDLastSave="0" documentId="13_ncr:1_{64BA683B-1BDE-43E4-AD85-4076522589E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ervices_week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<sst xmlns="http://schemas.openxmlformats.org/spreadsheetml/2006/main" count="429" uniqueCount="21">
  <si>
    <t>week</t>
  </si>
  <si>
    <t>month</t>
  </si>
  <si>
    <t>service</t>
  </si>
  <si>
    <t>available_beds</t>
  </si>
  <si>
    <t>patients_request</t>
  </si>
  <si>
    <t>patients_admitted</t>
  </si>
  <si>
    <t>patients_refused</t>
  </si>
  <si>
    <t>patient_satisfaction</t>
  </si>
  <si>
    <t>staff_morale</t>
  </si>
  <si>
    <t>event</t>
  </si>
  <si>
    <t>none</t>
  </si>
  <si>
    <t>flu</t>
  </si>
  <si>
    <t>ICU</t>
  </si>
  <si>
    <t>donation</t>
  </si>
  <si>
    <t>strike</t>
  </si>
  <si>
    <t>General Medicine</t>
  </si>
  <si>
    <t>Emergency</t>
  </si>
  <si>
    <t>Surgery</t>
  </si>
  <si>
    <t>bed_occupancy_rate(%)</t>
  </si>
  <si>
    <t>refusal_rate(%)</t>
  </si>
  <si>
    <t>demand_capacity_ratio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</si>
</sst>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83A34-C277-4A93-A67A-C4F867DF2FAC}" name="Table1" displayName="Table1" ref="A1:M209" totalsRowShown="0">
  <autoFilter ref="A1:M209" xr:uid="{317B9750-C89D-4119-B038-CE65138DFB07}"/>
  <tableColumns count="13">
    <tableColumn id="1" xr3:uid="{1871D8BD-09E2-433B-B7D8-ADB3D8DB54E3}" name="week"/>
    <tableColumn id="2" xr3:uid="{57BD80DD-D23A-4B74-A0C0-09F6FAFB36B9}" name="month"/>
    <tableColumn id="3" xr3:uid="{C892A342-7F89-4D89-8860-CC6A36FBF142}" name="service"/>
    <tableColumn id="4" xr3:uid="{ECC35F59-68E6-480A-A6D9-E6ADA8C60F81}" name="available_beds"/>
    <tableColumn id="5" xr3:uid="{163B7EF1-0FF9-445C-AC05-940E58DCCC51}" name="patients_request"/>
    <tableColumn id="6" xr3:uid="{90999D09-5308-40C7-82B4-DD21AB19608D}" name="patients_admitted"/>
    <tableColumn id="7" xr3:uid="{B58EFA20-39B6-40CE-929C-46FB6B018538}" name="patients_refused"/>
    <tableColumn id="8" xr3:uid="{9E1A040A-B705-4FDC-A892-D09B6909D702}" name="patient_satisfaction"/>
    <tableColumn id="9" xr3:uid="{4E8F5759-6B4F-4B0B-9ACB-336DDA212540}" name="staff_morale"/>
    <tableColumn id="10" xr3:uid="{96F3B3B5-0D2D-4C11-AA20-93447E80618F}" name="event"/>
    <tableColumn id="11" xr3:uid="{6893AC89-F07D-43A0-B4D2-8641038EFF5B}" name="bed_occupancy_rate(%)" dataDxfId="2">
      <calculatedColumnFormula>Table1[[#This Row],[patients_admitted]]/Table1[[#This Row],[available_beds]]*100</calculatedColumnFormula>
    </tableColumn>
    <tableColumn id="12" xr3:uid="{C8E76713-A63B-4636-A65A-1E230253B09A}" name="refusal_rate(%)" dataDxfId="1">
      <calculatedColumnFormula>Table1[[#This Row],[patients_refused]]/Table1[[#This Row],[patients_request]]*100</calculatedColumnFormula>
    </tableColumn>
    <tableColumn id="13" xr3:uid="{4B16A1B5-58C9-4F5A-9DB3-D4EE500CB1AB}" name="demand_capacity_ratio" dataDxfId="0">
      <calculatedColumnFormula>Table1[[#This Row],[patients_request]]/Table1[[#This Row],[available_beds]]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9"/>
  <sheetViews>
    <sheetView tabSelected="1" workbookViewId="0">
      <selection activeCell="K11" sqref="K11"/>
    </sheetView>
  </sheetViews>
  <sheetFormatPr defaultRowHeight="14.4" x14ac:dyDescent="0.3"/>
  <cols>
    <col min="1" max="1" width="7.5546875" bestFit="1" customWidth="1"/>
    <col min="2" max="2" width="8.5546875" bestFit="1" customWidth="1"/>
    <col min="3" max="3" width="15.33203125" bestFit="1" customWidth="1"/>
    <col min="4" max="4" width="15.33203125" customWidth="1"/>
    <col min="5" max="5" width="17" customWidth="1"/>
    <col min="6" max="6" width="18.21875" bestFit="1" customWidth="1"/>
    <col min="7" max="7" width="17" customWidth="1"/>
    <col min="8" max="8" width="19.6640625" bestFit="1" customWidth="1"/>
    <col min="9" max="9" width="13.77734375" bestFit="1" customWidth="1"/>
    <col min="10" max="10" width="8.33203125" bestFit="1" customWidth="1"/>
    <col min="11" max="11" width="23" bestFit="1" customWidth="1"/>
    <col min="12" max="12" width="15.77734375" bestFit="1" customWidth="1"/>
    <col min="13" max="13" width="22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</v>
      </c>
      <c r="L1" t="s">
        <v>19</v>
      </c>
      <c r="M1" t="s">
        <v>20</v>
      </c>
    </row>
    <row r="2" spans="1:13" x14ac:dyDescent="0.3">
      <c r="A2">
        <v>1</v>
      </c>
      <c r="B2">
        <v>1</v>
      </c>
      <c r="C2" t="s">
        <v>16</v>
      </c>
      <c r="D2">
        <v>32</v>
      </c>
      <c r="E2">
        <v>76</v>
      </c>
      <c r="F2">
        <v>32</v>
      </c>
      <c r="G2">
        <v>44</v>
      </c>
      <c r="H2">
        <v>67</v>
      </c>
      <c r="I2">
        <v>70</v>
      </c>
      <c r="J2" t="s">
        <v>10</v>
      </c>
      <c r="K2" s="1">
        <f>Table1[[#This Row],[patients_admitted]]/Table1[[#This Row],[available_beds]]*100</f>
        <v>100</v>
      </c>
      <c r="L2" s="1">
        <f>Table1[[#This Row],[patients_refused]]/Table1[[#This Row],[patients_request]]*100</f>
        <v>57.894736842105267</v>
      </c>
      <c r="M2" s="1">
        <f>Table1[[#This Row],[patients_request]]/Table1[[#This Row],[available_beds]]</f>
        <v>2.375</v>
      </c>
    </row>
    <row r="3" spans="1:13" x14ac:dyDescent="0.3">
      <c r="A3">
        <v>1</v>
      </c>
      <c r="B3">
        <v>1</v>
      </c>
      <c r="C3" t="s">
        <v>17</v>
      </c>
      <c r="D3">
        <v>45</v>
      </c>
      <c r="E3">
        <v>130</v>
      </c>
      <c r="F3">
        <v>45</v>
      </c>
      <c r="G3">
        <v>85</v>
      </c>
      <c r="H3">
        <v>83</v>
      </c>
      <c r="I3">
        <v>78</v>
      </c>
      <c r="J3" t="s">
        <v>11</v>
      </c>
      <c r="K3" s="1">
        <f>Table1[[#This Row],[patients_admitted]]/Table1[[#This Row],[available_beds]]*100</f>
        <v>100</v>
      </c>
      <c r="L3" s="1">
        <f>Table1[[#This Row],[patients_refused]]/Table1[[#This Row],[patients_request]]*100</f>
        <v>65.384615384615387</v>
      </c>
      <c r="M3" s="1">
        <f>Table1[[#This Row],[patients_request]]/Table1[[#This Row],[available_beds]]</f>
        <v>2.8888888888888888</v>
      </c>
    </row>
    <row r="4" spans="1:13" x14ac:dyDescent="0.3">
      <c r="A4">
        <v>1</v>
      </c>
      <c r="B4">
        <v>1</v>
      </c>
      <c r="C4" t="s">
        <v>15</v>
      </c>
      <c r="D4">
        <v>37</v>
      </c>
      <c r="E4">
        <v>201</v>
      </c>
      <c r="F4">
        <v>37</v>
      </c>
      <c r="G4">
        <v>164</v>
      </c>
      <c r="H4">
        <v>97</v>
      </c>
      <c r="I4">
        <v>43</v>
      </c>
      <c r="J4" t="s">
        <v>11</v>
      </c>
      <c r="K4" s="1">
        <f>Table1[[#This Row],[patients_admitted]]/Table1[[#This Row],[available_beds]]*100</f>
        <v>100</v>
      </c>
      <c r="L4" s="1">
        <f>Table1[[#This Row],[patients_refused]]/Table1[[#This Row],[patients_request]]*100</f>
        <v>81.592039800995025</v>
      </c>
      <c r="M4" s="1">
        <f>Table1[[#This Row],[patients_request]]/Table1[[#This Row],[available_beds]]</f>
        <v>5.4324324324324325</v>
      </c>
    </row>
    <row r="5" spans="1:13" x14ac:dyDescent="0.3">
      <c r="A5">
        <v>1</v>
      </c>
      <c r="B5">
        <v>1</v>
      </c>
      <c r="C5" t="s">
        <v>12</v>
      </c>
      <c r="D5">
        <v>22</v>
      </c>
      <c r="E5">
        <v>31</v>
      </c>
      <c r="F5">
        <v>22</v>
      </c>
      <c r="G5">
        <v>9</v>
      </c>
      <c r="H5">
        <v>84</v>
      </c>
      <c r="I5">
        <v>91</v>
      </c>
      <c r="J5" t="s">
        <v>11</v>
      </c>
      <c r="K5" s="1">
        <f>Table1[[#This Row],[patients_admitted]]/Table1[[#This Row],[available_beds]]*100</f>
        <v>100</v>
      </c>
      <c r="L5" s="1">
        <f>Table1[[#This Row],[patients_refused]]/Table1[[#This Row],[patients_request]]*100</f>
        <v>29.032258064516132</v>
      </c>
      <c r="M5" s="1">
        <f>Table1[[#This Row],[patients_request]]/Table1[[#This Row],[available_beds]]</f>
        <v>1.4090909090909092</v>
      </c>
    </row>
    <row r="6" spans="1:13" x14ac:dyDescent="0.3">
      <c r="A6">
        <v>2</v>
      </c>
      <c r="B6">
        <v>1</v>
      </c>
      <c r="C6" t="s">
        <v>16</v>
      </c>
      <c r="D6">
        <v>28</v>
      </c>
      <c r="E6">
        <v>169</v>
      </c>
      <c r="F6">
        <v>28</v>
      </c>
      <c r="G6">
        <v>141</v>
      </c>
      <c r="H6">
        <v>75</v>
      </c>
      <c r="I6">
        <v>64</v>
      </c>
      <c r="J6" t="s">
        <v>10</v>
      </c>
      <c r="K6" s="1">
        <f>Table1[[#This Row],[patients_admitted]]/Table1[[#This Row],[available_beds]]*100</f>
        <v>100</v>
      </c>
      <c r="L6" s="1">
        <f>Table1[[#This Row],[patients_refused]]/Table1[[#This Row],[patients_request]]*100</f>
        <v>83.431952662721898</v>
      </c>
      <c r="M6" s="1">
        <f>Table1[[#This Row],[patients_request]]/Table1[[#This Row],[available_beds]]</f>
        <v>6.0357142857142856</v>
      </c>
    </row>
    <row r="7" spans="1:13" x14ac:dyDescent="0.3">
      <c r="A7">
        <v>2</v>
      </c>
      <c r="B7">
        <v>1</v>
      </c>
      <c r="C7" t="s">
        <v>17</v>
      </c>
      <c r="D7">
        <v>40</v>
      </c>
      <c r="E7">
        <v>26</v>
      </c>
      <c r="F7">
        <v>26</v>
      </c>
      <c r="G7">
        <v>0</v>
      </c>
      <c r="H7">
        <v>96</v>
      </c>
      <c r="I7">
        <v>56</v>
      </c>
      <c r="J7" t="s">
        <v>10</v>
      </c>
      <c r="K7" s="1">
        <f>Table1[[#This Row],[patients_admitted]]/Table1[[#This Row],[available_beds]]*100</f>
        <v>65</v>
      </c>
      <c r="L7" s="1">
        <f>Table1[[#This Row],[patients_refused]]/Table1[[#This Row],[patients_request]]*100</f>
        <v>0</v>
      </c>
      <c r="M7" s="1">
        <f>Table1[[#This Row],[patients_request]]/Table1[[#This Row],[available_beds]]</f>
        <v>0.65</v>
      </c>
    </row>
    <row r="8" spans="1:13" x14ac:dyDescent="0.3">
      <c r="A8">
        <v>2</v>
      </c>
      <c r="B8">
        <v>1</v>
      </c>
      <c r="C8" t="s">
        <v>15</v>
      </c>
      <c r="D8">
        <v>43</v>
      </c>
      <c r="E8">
        <v>183</v>
      </c>
      <c r="F8">
        <v>43</v>
      </c>
      <c r="G8">
        <v>140</v>
      </c>
      <c r="H8">
        <v>73</v>
      </c>
      <c r="I8">
        <v>93</v>
      </c>
      <c r="J8" t="s">
        <v>11</v>
      </c>
      <c r="K8" s="1">
        <f>Table1[[#This Row],[patients_admitted]]/Table1[[#This Row],[available_beds]]*100</f>
        <v>100</v>
      </c>
      <c r="L8" s="1">
        <f>Table1[[#This Row],[patients_refused]]/Table1[[#This Row],[patients_request]]*100</f>
        <v>76.502732240437155</v>
      </c>
      <c r="M8" s="1">
        <f>Table1[[#This Row],[patients_request]]/Table1[[#This Row],[available_beds]]</f>
        <v>4.2558139534883717</v>
      </c>
    </row>
    <row r="9" spans="1:13" x14ac:dyDescent="0.3">
      <c r="A9">
        <v>2</v>
      </c>
      <c r="B9">
        <v>1</v>
      </c>
      <c r="C9" t="s">
        <v>12</v>
      </c>
      <c r="D9">
        <v>16</v>
      </c>
      <c r="E9">
        <v>7</v>
      </c>
      <c r="F9">
        <v>7</v>
      </c>
      <c r="G9">
        <v>0</v>
      </c>
      <c r="H9">
        <v>79</v>
      </c>
      <c r="I9">
        <v>85</v>
      </c>
      <c r="J9" t="s">
        <v>13</v>
      </c>
      <c r="K9" s="1">
        <f>Table1[[#This Row],[patients_admitted]]/Table1[[#This Row],[available_beds]]*100</f>
        <v>43.75</v>
      </c>
      <c r="L9" s="1">
        <f>Table1[[#This Row],[patients_refused]]/Table1[[#This Row],[patients_request]]*100</f>
        <v>0</v>
      </c>
      <c r="M9" s="1">
        <f>Table1[[#This Row],[patients_request]]/Table1[[#This Row],[available_beds]]</f>
        <v>0.4375</v>
      </c>
    </row>
    <row r="10" spans="1:13" x14ac:dyDescent="0.3">
      <c r="A10">
        <v>3</v>
      </c>
      <c r="B10">
        <v>1</v>
      </c>
      <c r="C10" t="s">
        <v>16</v>
      </c>
      <c r="D10">
        <v>32</v>
      </c>
      <c r="E10">
        <v>177</v>
      </c>
      <c r="F10">
        <v>32</v>
      </c>
      <c r="G10">
        <v>145</v>
      </c>
      <c r="H10">
        <v>73</v>
      </c>
      <c r="I10">
        <v>58</v>
      </c>
      <c r="J10" t="s">
        <v>11</v>
      </c>
      <c r="K10" s="1">
        <f>Table1[[#This Row],[patients_admitted]]/Table1[[#This Row],[available_beds]]*100</f>
        <v>100</v>
      </c>
      <c r="L10" s="1">
        <f>Table1[[#This Row],[patients_refused]]/Table1[[#This Row],[patients_request]]*100</f>
        <v>81.920903954802256</v>
      </c>
      <c r="M10" s="1">
        <f>Table1[[#This Row],[patients_request]]/Table1[[#This Row],[available_beds]]</f>
        <v>5.53125</v>
      </c>
    </row>
    <row r="11" spans="1:13" x14ac:dyDescent="0.3">
      <c r="A11">
        <v>3</v>
      </c>
      <c r="B11">
        <v>1</v>
      </c>
      <c r="C11" t="s">
        <v>17</v>
      </c>
      <c r="D11">
        <v>27</v>
      </c>
      <c r="E11">
        <v>66</v>
      </c>
      <c r="F11">
        <v>27</v>
      </c>
      <c r="G11">
        <v>39</v>
      </c>
      <c r="H11">
        <v>63</v>
      </c>
      <c r="I11">
        <v>72</v>
      </c>
      <c r="J11" t="s">
        <v>11</v>
      </c>
      <c r="K11" s="1">
        <f>Table1[[#This Row],[patients_admitted]]/Table1[[#This Row],[available_beds]]*100</f>
        <v>100</v>
      </c>
      <c r="L11" s="1">
        <f>Table1[[#This Row],[patients_refused]]/Table1[[#This Row],[patients_request]]*100</f>
        <v>59.090909090909093</v>
      </c>
      <c r="M11" s="1">
        <f>Table1[[#This Row],[patients_request]]/Table1[[#This Row],[available_beds]]</f>
        <v>2.4444444444444446</v>
      </c>
    </row>
    <row r="12" spans="1:13" x14ac:dyDescent="0.3">
      <c r="A12">
        <v>3</v>
      </c>
      <c r="B12">
        <v>1</v>
      </c>
      <c r="C12" t="s">
        <v>15</v>
      </c>
      <c r="D12">
        <v>37</v>
      </c>
      <c r="E12">
        <v>58</v>
      </c>
      <c r="F12">
        <v>37</v>
      </c>
      <c r="G12">
        <v>21</v>
      </c>
      <c r="H12">
        <v>95</v>
      </c>
      <c r="I12">
        <v>63</v>
      </c>
      <c r="J12" t="s">
        <v>10</v>
      </c>
      <c r="K12" s="1">
        <f>Table1[[#This Row],[patients_admitted]]/Table1[[#This Row],[available_beds]]*100</f>
        <v>100</v>
      </c>
      <c r="L12" s="1">
        <f>Table1[[#This Row],[patients_refused]]/Table1[[#This Row],[patients_request]]*100</f>
        <v>36.206896551724135</v>
      </c>
      <c r="M12" s="1">
        <f>Table1[[#This Row],[patients_request]]/Table1[[#This Row],[available_beds]]</f>
        <v>1.5675675675675675</v>
      </c>
    </row>
    <row r="13" spans="1:13" x14ac:dyDescent="0.3">
      <c r="A13">
        <v>3</v>
      </c>
      <c r="B13">
        <v>1</v>
      </c>
      <c r="C13" t="s">
        <v>12</v>
      </c>
      <c r="D13">
        <v>20</v>
      </c>
      <c r="E13">
        <v>21</v>
      </c>
      <c r="F13">
        <v>20</v>
      </c>
      <c r="G13">
        <v>1</v>
      </c>
      <c r="H13">
        <v>82</v>
      </c>
      <c r="I13">
        <v>89</v>
      </c>
      <c r="J13" t="s">
        <v>10</v>
      </c>
      <c r="K13" s="1">
        <f>Table1[[#This Row],[patients_admitted]]/Table1[[#This Row],[available_beds]]*100</f>
        <v>100</v>
      </c>
      <c r="L13" s="1">
        <f>Table1[[#This Row],[patients_refused]]/Table1[[#This Row],[patients_request]]*100</f>
        <v>4.7619047619047619</v>
      </c>
      <c r="M13" s="1">
        <f>Table1[[#This Row],[patients_request]]/Table1[[#This Row],[available_beds]]</f>
        <v>1.05</v>
      </c>
    </row>
    <row r="14" spans="1:13" x14ac:dyDescent="0.3">
      <c r="A14">
        <v>4</v>
      </c>
      <c r="B14">
        <v>1</v>
      </c>
      <c r="C14" t="s">
        <v>16</v>
      </c>
      <c r="D14">
        <v>32</v>
      </c>
      <c r="E14">
        <v>157</v>
      </c>
      <c r="F14">
        <v>32</v>
      </c>
      <c r="G14">
        <v>125</v>
      </c>
      <c r="H14">
        <v>83</v>
      </c>
      <c r="I14">
        <v>75</v>
      </c>
      <c r="J14" t="s">
        <v>10</v>
      </c>
      <c r="K14" s="1">
        <f>Table1[[#This Row],[patients_admitted]]/Table1[[#This Row],[available_beds]]*100</f>
        <v>100</v>
      </c>
      <c r="L14" s="1">
        <f>Table1[[#This Row],[patients_refused]]/Table1[[#This Row],[patients_request]]*100</f>
        <v>79.617834394904463</v>
      </c>
      <c r="M14" s="1">
        <f>Table1[[#This Row],[patients_request]]/Table1[[#This Row],[available_beds]]</f>
        <v>4.90625</v>
      </c>
    </row>
    <row r="15" spans="1:13" x14ac:dyDescent="0.3">
      <c r="A15">
        <v>4</v>
      </c>
      <c r="B15">
        <v>1</v>
      </c>
      <c r="C15" t="s">
        <v>17</v>
      </c>
      <c r="D15">
        <v>56</v>
      </c>
      <c r="E15">
        <v>57</v>
      </c>
      <c r="F15">
        <v>56</v>
      </c>
      <c r="G15">
        <v>1</v>
      </c>
      <c r="H15">
        <v>74</v>
      </c>
      <c r="I15">
        <v>94</v>
      </c>
      <c r="J15" t="s">
        <v>10</v>
      </c>
      <c r="K15" s="1">
        <f>Table1[[#This Row],[patients_admitted]]/Table1[[#This Row],[available_beds]]*100</f>
        <v>100</v>
      </c>
      <c r="L15" s="1">
        <f>Table1[[#This Row],[patients_refused]]/Table1[[#This Row],[patients_request]]*100</f>
        <v>1.7543859649122806</v>
      </c>
      <c r="M15" s="1">
        <f>Table1[[#This Row],[patients_request]]/Table1[[#This Row],[available_beds]]</f>
        <v>1.0178571428571428</v>
      </c>
    </row>
    <row r="16" spans="1:13" x14ac:dyDescent="0.3">
      <c r="A16">
        <v>4</v>
      </c>
      <c r="B16">
        <v>1</v>
      </c>
      <c r="C16" t="s">
        <v>15</v>
      </c>
      <c r="D16">
        <v>43</v>
      </c>
      <c r="E16">
        <v>152</v>
      </c>
      <c r="F16">
        <v>43</v>
      </c>
      <c r="G16">
        <v>109</v>
      </c>
      <c r="H16">
        <v>67</v>
      </c>
      <c r="I16">
        <v>66</v>
      </c>
      <c r="J16" t="s">
        <v>11</v>
      </c>
      <c r="K16" s="1">
        <f>Table1[[#This Row],[patients_admitted]]/Table1[[#This Row],[available_beds]]*100</f>
        <v>100</v>
      </c>
      <c r="L16" s="1">
        <f>Table1[[#This Row],[patients_refused]]/Table1[[#This Row],[patients_request]]*100</f>
        <v>71.710526315789465</v>
      </c>
      <c r="M16" s="1">
        <f>Table1[[#This Row],[patients_request]]/Table1[[#This Row],[available_beds]]</f>
        <v>3.5348837209302326</v>
      </c>
    </row>
    <row r="17" spans="1:13" x14ac:dyDescent="0.3">
      <c r="A17">
        <v>4</v>
      </c>
      <c r="B17">
        <v>1</v>
      </c>
      <c r="C17" t="s">
        <v>12</v>
      </c>
      <c r="D17">
        <v>20</v>
      </c>
      <c r="E17">
        <v>21</v>
      </c>
      <c r="F17">
        <v>20</v>
      </c>
      <c r="G17">
        <v>1</v>
      </c>
      <c r="H17">
        <v>64</v>
      </c>
      <c r="I17">
        <v>85</v>
      </c>
      <c r="J17" t="s">
        <v>11</v>
      </c>
      <c r="K17" s="1">
        <f>Table1[[#This Row],[patients_admitted]]/Table1[[#This Row],[available_beds]]*100</f>
        <v>100</v>
      </c>
      <c r="L17" s="1">
        <f>Table1[[#This Row],[patients_refused]]/Table1[[#This Row],[patients_request]]*100</f>
        <v>4.7619047619047619</v>
      </c>
      <c r="M17" s="1">
        <f>Table1[[#This Row],[patients_request]]/Table1[[#This Row],[available_beds]]</f>
        <v>1.05</v>
      </c>
    </row>
    <row r="18" spans="1:13" x14ac:dyDescent="0.3">
      <c r="A18">
        <v>5</v>
      </c>
      <c r="B18">
        <v>2</v>
      </c>
      <c r="C18" t="s">
        <v>16</v>
      </c>
      <c r="D18">
        <v>25</v>
      </c>
      <c r="E18">
        <v>388</v>
      </c>
      <c r="F18">
        <v>25</v>
      </c>
      <c r="G18">
        <v>363</v>
      </c>
      <c r="H18">
        <v>93</v>
      </c>
      <c r="I18">
        <v>72</v>
      </c>
      <c r="J18" t="s">
        <v>11</v>
      </c>
      <c r="K18" s="1">
        <f>Table1[[#This Row],[patients_admitted]]/Table1[[#This Row],[available_beds]]*100</f>
        <v>100</v>
      </c>
      <c r="L18" s="1">
        <f>Table1[[#This Row],[patients_refused]]/Table1[[#This Row],[patients_request]]*100</f>
        <v>93.55670103092784</v>
      </c>
      <c r="M18" s="1">
        <f>Table1[[#This Row],[patients_request]]/Table1[[#This Row],[available_beds]]</f>
        <v>15.52</v>
      </c>
    </row>
    <row r="19" spans="1:13" x14ac:dyDescent="0.3">
      <c r="A19">
        <v>5</v>
      </c>
      <c r="B19">
        <v>2</v>
      </c>
      <c r="C19" t="s">
        <v>17</v>
      </c>
      <c r="D19">
        <v>26</v>
      </c>
      <c r="E19">
        <v>70</v>
      </c>
      <c r="F19">
        <v>26</v>
      </c>
      <c r="G19">
        <v>44</v>
      </c>
      <c r="H19">
        <v>81</v>
      </c>
      <c r="I19">
        <v>83</v>
      </c>
      <c r="J19" t="s">
        <v>13</v>
      </c>
      <c r="K19" s="1">
        <f>Table1[[#This Row],[patients_admitted]]/Table1[[#This Row],[available_beds]]*100</f>
        <v>100</v>
      </c>
      <c r="L19" s="1">
        <f>Table1[[#This Row],[patients_refused]]/Table1[[#This Row],[patients_request]]*100</f>
        <v>62.857142857142854</v>
      </c>
      <c r="M19" s="1">
        <f>Table1[[#This Row],[patients_request]]/Table1[[#This Row],[available_beds]]</f>
        <v>2.6923076923076925</v>
      </c>
    </row>
    <row r="20" spans="1:13" x14ac:dyDescent="0.3">
      <c r="A20">
        <v>5</v>
      </c>
      <c r="B20">
        <v>2</v>
      </c>
      <c r="C20" t="s">
        <v>15</v>
      </c>
      <c r="D20">
        <v>40</v>
      </c>
      <c r="E20">
        <v>103</v>
      </c>
      <c r="F20">
        <v>40</v>
      </c>
      <c r="G20">
        <v>63</v>
      </c>
      <c r="H20">
        <v>73</v>
      </c>
      <c r="I20">
        <v>52</v>
      </c>
      <c r="J20" t="s">
        <v>10</v>
      </c>
      <c r="K20" s="1">
        <f>Table1[[#This Row],[patients_admitted]]/Table1[[#This Row],[available_beds]]*100</f>
        <v>100</v>
      </c>
      <c r="L20" s="1">
        <f>Table1[[#This Row],[patients_refused]]/Table1[[#This Row],[patients_request]]*100</f>
        <v>61.165048543689316</v>
      </c>
      <c r="M20" s="1">
        <f>Table1[[#This Row],[patients_request]]/Table1[[#This Row],[available_beds]]</f>
        <v>2.5750000000000002</v>
      </c>
    </row>
    <row r="21" spans="1:13" x14ac:dyDescent="0.3">
      <c r="A21">
        <v>5</v>
      </c>
      <c r="B21">
        <v>2</v>
      </c>
      <c r="C21" t="s">
        <v>12</v>
      </c>
      <c r="D21">
        <v>22</v>
      </c>
      <c r="E21">
        <v>13</v>
      </c>
      <c r="F21">
        <v>13</v>
      </c>
      <c r="G21">
        <v>0</v>
      </c>
      <c r="H21">
        <v>73</v>
      </c>
      <c r="I21">
        <v>88</v>
      </c>
      <c r="J21" t="s">
        <v>10</v>
      </c>
      <c r="K21" s="1">
        <f>Table1[[#This Row],[patients_admitted]]/Table1[[#This Row],[available_beds]]*100</f>
        <v>59.090909090909093</v>
      </c>
      <c r="L21" s="1">
        <f>Table1[[#This Row],[patients_refused]]/Table1[[#This Row],[patients_request]]*100</f>
        <v>0</v>
      </c>
      <c r="M21" s="1">
        <f>Table1[[#This Row],[patients_request]]/Table1[[#This Row],[available_beds]]</f>
        <v>0.59090909090909094</v>
      </c>
    </row>
    <row r="22" spans="1:13" x14ac:dyDescent="0.3">
      <c r="A22">
        <v>6</v>
      </c>
      <c r="B22">
        <v>2</v>
      </c>
      <c r="C22" t="s">
        <v>16</v>
      </c>
      <c r="D22">
        <v>34</v>
      </c>
      <c r="E22">
        <v>198</v>
      </c>
      <c r="F22">
        <v>34</v>
      </c>
      <c r="G22">
        <v>164</v>
      </c>
      <c r="H22">
        <v>72</v>
      </c>
      <c r="I22">
        <v>76</v>
      </c>
      <c r="J22" t="s">
        <v>11</v>
      </c>
      <c r="K22" s="1">
        <f>Table1[[#This Row],[patients_admitted]]/Table1[[#This Row],[available_beds]]*100</f>
        <v>100</v>
      </c>
      <c r="L22" s="1">
        <f>Table1[[#This Row],[patients_refused]]/Table1[[#This Row],[patients_request]]*100</f>
        <v>82.828282828282823</v>
      </c>
      <c r="M22" s="1">
        <f>Table1[[#This Row],[patients_request]]/Table1[[#This Row],[available_beds]]</f>
        <v>5.8235294117647056</v>
      </c>
    </row>
    <row r="23" spans="1:13" x14ac:dyDescent="0.3">
      <c r="A23">
        <v>6</v>
      </c>
      <c r="B23">
        <v>2</v>
      </c>
      <c r="C23" t="s">
        <v>17</v>
      </c>
      <c r="D23">
        <v>27</v>
      </c>
      <c r="E23">
        <v>58</v>
      </c>
      <c r="F23">
        <v>27</v>
      </c>
      <c r="G23">
        <v>31</v>
      </c>
      <c r="H23">
        <v>96</v>
      </c>
      <c r="I23">
        <v>81</v>
      </c>
      <c r="J23" t="s">
        <v>13</v>
      </c>
      <c r="K23" s="1">
        <f>Table1[[#This Row],[patients_admitted]]/Table1[[#This Row],[available_beds]]*100</f>
        <v>100</v>
      </c>
      <c r="L23" s="1">
        <f>Table1[[#This Row],[patients_refused]]/Table1[[#This Row],[patients_request]]*100</f>
        <v>53.448275862068961</v>
      </c>
      <c r="M23" s="1">
        <f>Table1[[#This Row],[patients_request]]/Table1[[#This Row],[available_beds]]</f>
        <v>2.1481481481481484</v>
      </c>
    </row>
    <row r="24" spans="1:13" x14ac:dyDescent="0.3">
      <c r="A24">
        <v>6</v>
      </c>
      <c r="B24">
        <v>2</v>
      </c>
      <c r="C24" t="s">
        <v>15</v>
      </c>
      <c r="D24">
        <v>69</v>
      </c>
      <c r="E24">
        <v>90</v>
      </c>
      <c r="F24">
        <v>69</v>
      </c>
      <c r="G24">
        <v>21</v>
      </c>
      <c r="H24">
        <v>72</v>
      </c>
      <c r="I24">
        <v>81</v>
      </c>
      <c r="J24" t="s">
        <v>10</v>
      </c>
      <c r="K24" s="1">
        <f>Table1[[#This Row],[patients_admitted]]/Table1[[#This Row],[available_beds]]*100</f>
        <v>100</v>
      </c>
      <c r="L24" s="1">
        <f>Table1[[#This Row],[patients_refused]]/Table1[[#This Row],[patients_request]]*100</f>
        <v>23.333333333333332</v>
      </c>
      <c r="M24" s="1">
        <f>Table1[[#This Row],[patients_request]]/Table1[[#This Row],[available_beds]]</f>
        <v>1.3043478260869565</v>
      </c>
    </row>
    <row r="25" spans="1:13" x14ac:dyDescent="0.3">
      <c r="A25">
        <v>6</v>
      </c>
      <c r="B25">
        <v>2</v>
      </c>
      <c r="C25" t="s">
        <v>12</v>
      </c>
      <c r="D25">
        <v>14</v>
      </c>
      <c r="E25">
        <v>12</v>
      </c>
      <c r="F25">
        <v>12</v>
      </c>
      <c r="G25">
        <v>0</v>
      </c>
      <c r="H25">
        <v>87</v>
      </c>
      <c r="I25">
        <v>51</v>
      </c>
      <c r="J25" t="s">
        <v>10</v>
      </c>
      <c r="K25" s="1">
        <f>Table1[[#This Row],[patients_admitted]]/Table1[[#This Row],[available_beds]]*100</f>
        <v>85.714285714285708</v>
      </c>
      <c r="L25" s="1">
        <f>Table1[[#This Row],[patients_refused]]/Table1[[#This Row],[patients_request]]*100</f>
        <v>0</v>
      </c>
      <c r="M25" s="1">
        <f>Table1[[#This Row],[patients_request]]/Table1[[#This Row],[available_beds]]</f>
        <v>0.8571428571428571</v>
      </c>
    </row>
    <row r="26" spans="1:13" x14ac:dyDescent="0.3">
      <c r="A26">
        <v>7</v>
      </c>
      <c r="B26">
        <v>2</v>
      </c>
      <c r="C26" t="s">
        <v>16</v>
      </c>
      <c r="D26">
        <v>33</v>
      </c>
      <c r="E26">
        <v>127</v>
      </c>
      <c r="F26">
        <v>33</v>
      </c>
      <c r="G26">
        <v>94</v>
      </c>
      <c r="H26">
        <v>65</v>
      </c>
      <c r="I26">
        <v>77</v>
      </c>
      <c r="J26" t="s">
        <v>10</v>
      </c>
      <c r="K26" s="1">
        <f>Table1[[#This Row],[patients_admitted]]/Table1[[#This Row],[available_beds]]*100</f>
        <v>100</v>
      </c>
      <c r="L26" s="1">
        <f>Table1[[#This Row],[patients_refused]]/Table1[[#This Row],[patients_request]]*100</f>
        <v>74.015748031496059</v>
      </c>
      <c r="M26" s="1">
        <f>Table1[[#This Row],[patients_request]]/Table1[[#This Row],[available_beds]]</f>
        <v>3.8484848484848486</v>
      </c>
    </row>
    <row r="27" spans="1:13" x14ac:dyDescent="0.3">
      <c r="A27">
        <v>7</v>
      </c>
      <c r="B27">
        <v>2</v>
      </c>
      <c r="C27" t="s">
        <v>17</v>
      </c>
      <c r="D27">
        <v>37</v>
      </c>
      <c r="E27">
        <v>46</v>
      </c>
      <c r="F27">
        <v>37</v>
      </c>
      <c r="G27">
        <v>9</v>
      </c>
      <c r="H27">
        <v>89</v>
      </c>
      <c r="I27">
        <v>60</v>
      </c>
      <c r="J27" t="s">
        <v>10</v>
      </c>
      <c r="K27" s="1">
        <f>Table1[[#This Row],[patients_admitted]]/Table1[[#This Row],[available_beds]]*100</f>
        <v>100</v>
      </c>
      <c r="L27" s="1">
        <f>Table1[[#This Row],[patients_refused]]/Table1[[#This Row],[patients_request]]*100</f>
        <v>19.565217391304348</v>
      </c>
      <c r="M27" s="1">
        <f>Table1[[#This Row],[patients_request]]/Table1[[#This Row],[available_beds]]</f>
        <v>1.2432432432432432</v>
      </c>
    </row>
    <row r="28" spans="1:13" x14ac:dyDescent="0.3">
      <c r="A28">
        <v>7</v>
      </c>
      <c r="B28">
        <v>2</v>
      </c>
      <c r="C28" t="s">
        <v>15</v>
      </c>
      <c r="D28">
        <v>62</v>
      </c>
      <c r="E28">
        <v>80</v>
      </c>
      <c r="F28">
        <v>62</v>
      </c>
      <c r="G28">
        <v>18</v>
      </c>
      <c r="H28">
        <v>84</v>
      </c>
      <c r="I28">
        <v>98</v>
      </c>
      <c r="J28" t="s">
        <v>13</v>
      </c>
      <c r="K28" s="1">
        <f>Table1[[#This Row],[patients_admitted]]/Table1[[#This Row],[available_beds]]*100</f>
        <v>100</v>
      </c>
      <c r="L28" s="1">
        <f>Table1[[#This Row],[patients_refused]]/Table1[[#This Row],[patients_request]]*100</f>
        <v>22.5</v>
      </c>
      <c r="M28" s="1">
        <f>Table1[[#This Row],[patients_request]]/Table1[[#This Row],[available_beds]]</f>
        <v>1.2903225806451613</v>
      </c>
    </row>
    <row r="29" spans="1:13" x14ac:dyDescent="0.3">
      <c r="A29">
        <v>7</v>
      </c>
      <c r="B29">
        <v>2</v>
      </c>
      <c r="C29" t="s">
        <v>12</v>
      </c>
      <c r="D29">
        <v>21</v>
      </c>
      <c r="E29">
        <v>47</v>
      </c>
      <c r="F29">
        <v>21</v>
      </c>
      <c r="G29">
        <v>26</v>
      </c>
      <c r="H29">
        <v>72</v>
      </c>
      <c r="I29">
        <v>83</v>
      </c>
      <c r="J29" t="s">
        <v>11</v>
      </c>
      <c r="K29" s="1">
        <f>Table1[[#This Row],[patients_admitted]]/Table1[[#This Row],[available_beds]]*100</f>
        <v>100</v>
      </c>
      <c r="L29" s="1">
        <f>Table1[[#This Row],[patients_refused]]/Table1[[#This Row],[patients_request]]*100</f>
        <v>55.319148936170215</v>
      </c>
      <c r="M29" s="1">
        <f>Table1[[#This Row],[patients_request]]/Table1[[#This Row],[available_beds]]</f>
        <v>2.2380952380952381</v>
      </c>
    </row>
    <row r="30" spans="1:13" x14ac:dyDescent="0.3">
      <c r="A30">
        <v>8</v>
      </c>
      <c r="B30">
        <v>2</v>
      </c>
      <c r="C30" t="s">
        <v>16</v>
      </c>
      <c r="D30">
        <v>26</v>
      </c>
      <c r="E30">
        <v>240</v>
      </c>
      <c r="F30">
        <v>26</v>
      </c>
      <c r="G30">
        <v>214</v>
      </c>
      <c r="H30">
        <v>96</v>
      </c>
      <c r="I30">
        <v>75</v>
      </c>
      <c r="J30" t="s">
        <v>11</v>
      </c>
      <c r="K30" s="1">
        <f>Table1[[#This Row],[patients_admitted]]/Table1[[#This Row],[available_beds]]*100</f>
        <v>100</v>
      </c>
      <c r="L30" s="1">
        <f>Table1[[#This Row],[patients_refused]]/Table1[[#This Row],[patients_request]]*100</f>
        <v>89.166666666666671</v>
      </c>
      <c r="M30" s="1">
        <f>Table1[[#This Row],[patients_request]]/Table1[[#This Row],[available_beds]]</f>
        <v>9.2307692307692299</v>
      </c>
    </row>
    <row r="31" spans="1:13" x14ac:dyDescent="0.3">
      <c r="A31">
        <v>8</v>
      </c>
      <c r="B31">
        <v>2</v>
      </c>
      <c r="C31" t="s">
        <v>17</v>
      </c>
      <c r="D31">
        <v>51</v>
      </c>
      <c r="E31">
        <v>20</v>
      </c>
      <c r="F31">
        <v>20</v>
      </c>
      <c r="G31">
        <v>0</v>
      </c>
      <c r="H31">
        <v>91</v>
      </c>
      <c r="I31">
        <v>61</v>
      </c>
      <c r="J31" t="s">
        <v>14</v>
      </c>
      <c r="K31" s="1">
        <f>Table1[[#This Row],[patients_admitted]]/Table1[[#This Row],[available_beds]]*100</f>
        <v>39.215686274509807</v>
      </c>
      <c r="L31" s="1">
        <f>Table1[[#This Row],[patients_refused]]/Table1[[#This Row],[patients_request]]*100</f>
        <v>0</v>
      </c>
      <c r="M31" s="1">
        <f>Table1[[#This Row],[patients_request]]/Table1[[#This Row],[available_beds]]</f>
        <v>0.39215686274509803</v>
      </c>
    </row>
    <row r="32" spans="1:13" x14ac:dyDescent="0.3">
      <c r="A32">
        <v>8</v>
      </c>
      <c r="B32">
        <v>2</v>
      </c>
      <c r="C32" t="s">
        <v>15</v>
      </c>
      <c r="D32">
        <v>58</v>
      </c>
      <c r="E32">
        <v>105</v>
      </c>
      <c r="F32">
        <v>58</v>
      </c>
      <c r="G32">
        <v>47</v>
      </c>
      <c r="H32">
        <v>71</v>
      </c>
      <c r="I32">
        <v>88</v>
      </c>
      <c r="J32" t="s">
        <v>10</v>
      </c>
      <c r="K32" s="1">
        <f>Table1[[#This Row],[patients_admitted]]/Table1[[#This Row],[available_beds]]*100</f>
        <v>100</v>
      </c>
      <c r="L32" s="1">
        <f>Table1[[#This Row],[patients_refused]]/Table1[[#This Row],[patients_request]]*100</f>
        <v>44.761904761904766</v>
      </c>
      <c r="M32" s="1">
        <f>Table1[[#This Row],[patients_request]]/Table1[[#This Row],[available_beds]]</f>
        <v>1.8103448275862069</v>
      </c>
    </row>
    <row r="33" spans="1:13" x14ac:dyDescent="0.3">
      <c r="A33">
        <v>8</v>
      </c>
      <c r="B33">
        <v>2</v>
      </c>
      <c r="C33" t="s">
        <v>12</v>
      </c>
      <c r="D33">
        <v>12</v>
      </c>
      <c r="E33">
        <v>10</v>
      </c>
      <c r="F33">
        <v>10</v>
      </c>
      <c r="G33">
        <v>0</v>
      </c>
      <c r="H33">
        <v>76</v>
      </c>
      <c r="I33">
        <v>98</v>
      </c>
      <c r="J33" t="s">
        <v>10</v>
      </c>
      <c r="K33" s="1">
        <f>Table1[[#This Row],[patients_admitted]]/Table1[[#This Row],[available_beds]]*100</f>
        <v>83.333333333333343</v>
      </c>
      <c r="L33" s="1">
        <f>Table1[[#This Row],[patients_refused]]/Table1[[#This Row],[patients_request]]*100</f>
        <v>0</v>
      </c>
      <c r="M33" s="1">
        <f>Table1[[#This Row],[patients_request]]/Table1[[#This Row],[available_beds]]</f>
        <v>0.83333333333333337</v>
      </c>
    </row>
    <row r="34" spans="1:13" x14ac:dyDescent="0.3">
      <c r="A34">
        <v>9</v>
      </c>
      <c r="B34">
        <v>3</v>
      </c>
      <c r="C34" t="s">
        <v>16</v>
      </c>
      <c r="D34">
        <v>28</v>
      </c>
      <c r="E34">
        <v>113</v>
      </c>
      <c r="F34">
        <v>28</v>
      </c>
      <c r="G34">
        <v>85</v>
      </c>
      <c r="H34">
        <v>82</v>
      </c>
      <c r="I34">
        <v>86</v>
      </c>
      <c r="J34" t="s">
        <v>10</v>
      </c>
      <c r="K34" s="1">
        <f>Table1[[#This Row],[patients_admitted]]/Table1[[#This Row],[available_beds]]*100</f>
        <v>100</v>
      </c>
      <c r="L34" s="1">
        <f>Table1[[#This Row],[patients_refused]]/Table1[[#This Row],[patients_request]]*100</f>
        <v>75.221238938053091</v>
      </c>
      <c r="M34" s="1">
        <f>Table1[[#This Row],[patients_request]]/Table1[[#This Row],[available_beds]]</f>
        <v>4.0357142857142856</v>
      </c>
    </row>
    <row r="35" spans="1:13" x14ac:dyDescent="0.3">
      <c r="A35">
        <v>9</v>
      </c>
      <c r="B35">
        <v>3</v>
      </c>
      <c r="C35" t="s">
        <v>17</v>
      </c>
      <c r="D35">
        <v>22</v>
      </c>
      <c r="E35">
        <v>41</v>
      </c>
      <c r="F35">
        <v>22</v>
      </c>
      <c r="G35">
        <v>19</v>
      </c>
      <c r="H35">
        <v>61</v>
      </c>
      <c r="I35">
        <v>93</v>
      </c>
      <c r="J35" t="s">
        <v>10</v>
      </c>
      <c r="K35" s="1">
        <f>Table1[[#This Row],[patients_admitted]]/Table1[[#This Row],[available_beds]]*100</f>
        <v>100</v>
      </c>
      <c r="L35" s="1">
        <f>Table1[[#This Row],[patients_refused]]/Table1[[#This Row],[patients_request]]*100</f>
        <v>46.341463414634148</v>
      </c>
      <c r="M35" s="1">
        <f>Table1[[#This Row],[patients_request]]/Table1[[#This Row],[available_beds]]</f>
        <v>1.8636363636363635</v>
      </c>
    </row>
    <row r="36" spans="1:13" x14ac:dyDescent="0.3">
      <c r="A36">
        <v>9</v>
      </c>
      <c r="B36">
        <v>3</v>
      </c>
      <c r="C36" t="s">
        <v>15</v>
      </c>
      <c r="D36">
        <v>38</v>
      </c>
      <c r="E36">
        <v>78</v>
      </c>
      <c r="F36">
        <v>38</v>
      </c>
      <c r="G36">
        <v>40</v>
      </c>
      <c r="H36">
        <v>63</v>
      </c>
      <c r="I36">
        <v>60</v>
      </c>
      <c r="J36" t="s">
        <v>10</v>
      </c>
      <c r="K36" s="1">
        <f>Table1[[#This Row],[patients_admitted]]/Table1[[#This Row],[available_beds]]*100</f>
        <v>100</v>
      </c>
      <c r="L36" s="1">
        <f>Table1[[#This Row],[patients_refused]]/Table1[[#This Row],[patients_request]]*100</f>
        <v>51.282051282051277</v>
      </c>
      <c r="M36" s="1">
        <f>Table1[[#This Row],[patients_request]]/Table1[[#This Row],[available_beds]]</f>
        <v>2.0526315789473686</v>
      </c>
    </row>
    <row r="37" spans="1:13" x14ac:dyDescent="0.3">
      <c r="A37">
        <v>9</v>
      </c>
      <c r="B37">
        <v>3</v>
      </c>
      <c r="C37" t="s">
        <v>12</v>
      </c>
      <c r="D37">
        <v>11</v>
      </c>
      <c r="E37">
        <v>20</v>
      </c>
      <c r="F37">
        <v>11</v>
      </c>
      <c r="G37">
        <v>9</v>
      </c>
      <c r="H37">
        <v>97</v>
      </c>
      <c r="I37">
        <v>73</v>
      </c>
      <c r="J37" t="s">
        <v>10</v>
      </c>
      <c r="K37" s="1">
        <f>Table1[[#This Row],[patients_admitted]]/Table1[[#This Row],[available_beds]]*100</f>
        <v>100</v>
      </c>
      <c r="L37" s="1">
        <f>Table1[[#This Row],[patients_refused]]/Table1[[#This Row],[patients_request]]*100</f>
        <v>45</v>
      </c>
      <c r="M37" s="1">
        <f>Table1[[#This Row],[patients_request]]/Table1[[#This Row],[available_beds]]</f>
        <v>1.8181818181818181</v>
      </c>
    </row>
    <row r="38" spans="1:13" x14ac:dyDescent="0.3">
      <c r="A38">
        <v>10</v>
      </c>
      <c r="B38">
        <v>3</v>
      </c>
      <c r="C38" t="s">
        <v>16</v>
      </c>
      <c r="D38">
        <v>17</v>
      </c>
      <c r="E38">
        <v>130</v>
      </c>
      <c r="F38">
        <v>17</v>
      </c>
      <c r="G38">
        <v>113</v>
      </c>
      <c r="H38">
        <v>81</v>
      </c>
      <c r="I38">
        <v>60</v>
      </c>
      <c r="J38" t="s">
        <v>10</v>
      </c>
      <c r="K38" s="1">
        <f>Table1[[#This Row],[patients_admitted]]/Table1[[#This Row],[available_beds]]*100</f>
        <v>100</v>
      </c>
      <c r="L38" s="1">
        <f>Table1[[#This Row],[patients_refused]]/Table1[[#This Row],[patients_request]]*100</f>
        <v>86.92307692307692</v>
      </c>
      <c r="M38" s="1">
        <f>Table1[[#This Row],[patients_request]]/Table1[[#This Row],[available_beds]]</f>
        <v>7.6470588235294121</v>
      </c>
    </row>
    <row r="39" spans="1:13" x14ac:dyDescent="0.3">
      <c r="A39">
        <v>10</v>
      </c>
      <c r="B39">
        <v>3</v>
      </c>
      <c r="C39" t="s">
        <v>17</v>
      </c>
      <c r="D39">
        <v>38</v>
      </c>
      <c r="E39">
        <v>57</v>
      </c>
      <c r="F39">
        <v>38</v>
      </c>
      <c r="G39">
        <v>19</v>
      </c>
      <c r="H39">
        <v>68</v>
      </c>
      <c r="I39">
        <v>55</v>
      </c>
      <c r="J39" t="s">
        <v>10</v>
      </c>
      <c r="K39" s="1">
        <f>Table1[[#This Row],[patients_admitted]]/Table1[[#This Row],[available_beds]]*100</f>
        <v>100</v>
      </c>
      <c r="L39" s="1">
        <f>Table1[[#This Row],[patients_refused]]/Table1[[#This Row],[patients_request]]*100</f>
        <v>33.333333333333329</v>
      </c>
      <c r="M39" s="1">
        <f>Table1[[#This Row],[patients_request]]/Table1[[#This Row],[available_beds]]</f>
        <v>1.5</v>
      </c>
    </row>
    <row r="40" spans="1:13" x14ac:dyDescent="0.3">
      <c r="A40">
        <v>10</v>
      </c>
      <c r="B40">
        <v>3</v>
      </c>
      <c r="C40" t="s">
        <v>15</v>
      </c>
      <c r="D40">
        <v>35</v>
      </c>
      <c r="E40">
        <v>64</v>
      </c>
      <c r="F40">
        <v>35</v>
      </c>
      <c r="G40">
        <v>29</v>
      </c>
      <c r="H40">
        <v>95</v>
      </c>
      <c r="I40">
        <v>68</v>
      </c>
      <c r="J40" t="s">
        <v>10</v>
      </c>
      <c r="K40" s="1">
        <f>Table1[[#This Row],[patients_admitted]]/Table1[[#This Row],[available_beds]]*100</f>
        <v>100</v>
      </c>
      <c r="L40" s="1">
        <f>Table1[[#This Row],[patients_refused]]/Table1[[#This Row],[patients_request]]*100</f>
        <v>45.3125</v>
      </c>
      <c r="M40" s="1">
        <f>Table1[[#This Row],[patients_request]]/Table1[[#This Row],[available_beds]]</f>
        <v>1.8285714285714285</v>
      </c>
    </row>
    <row r="41" spans="1:13" x14ac:dyDescent="0.3">
      <c r="A41">
        <v>10</v>
      </c>
      <c r="B41">
        <v>3</v>
      </c>
      <c r="C41" t="s">
        <v>12</v>
      </c>
      <c r="D41">
        <v>13</v>
      </c>
      <c r="E41">
        <v>8</v>
      </c>
      <c r="F41">
        <v>8</v>
      </c>
      <c r="G41">
        <v>0</v>
      </c>
      <c r="H41">
        <v>91</v>
      </c>
      <c r="I41">
        <v>56</v>
      </c>
      <c r="J41" t="s">
        <v>10</v>
      </c>
      <c r="K41" s="1">
        <f>Table1[[#This Row],[patients_admitted]]/Table1[[#This Row],[available_beds]]*100</f>
        <v>61.53846153846154</v>
      </c>
      <c r="L41" s="1">
        <f>Table1[[#This Row],[patients_refused]]/Table1[[#This Row],[patients_request]]*100</f>
        <v>0</v>
      </c>
      <c r="M41" s="1">
        <f>Table1[[#This Row],[patients_request]]/Table1[[#This Row],[available_beds]]</f>
        <v>0.61538461538461542</v>
      </c>
    </row>
    <row r="42" spans="1:13" x14ac:dyDescent="0.3">
      <c r="A42">
        <v>11</v>
      </c>
      <c r="B42">
        <v>3</v>
      </c>
      <c r="C42" t="s">
        <v>16</v>
      </c>
      <c r="D42">
        <v>16</v>
      </c>
      <c r="E42">
        <v>97</v>
      </c>
      <c r="F42">
        <v>16</v>
      </c>
      <c r="G42">
        <v>81</v>
      </c>
      <c r="H42">
        <v>98</v>
      </c>
      <c r="I42">
        <v>72</v>
      </c>
      <c r="J42" t="s">
        <v>13</v>
      </c>
      <c r="K42" s="1">
        <f>Table1[[#This Row],[patients_admitted]]/Table1[[#This Row],[available_beds]]*100</f>
        <v>100</v>
      </c>
      <c r="L42" s="1">
        <f>Table1[[#This Row],[patients_refused]]/Table1[[#This Row],[patients_request]]*100</f>
        <v>83.505154639175259</v>
      </c>
      <c r="M42" s="1">
        <f>Table1[[#This Row],[patients_request]]/Table1[[#This Row],[available_beds]]</f>
        <v>6.0625</v>
      </c>
    </row>
    <row r="43" spans="1:13" x14ac:dyDescent="0.3">
      <c r="A43">
        <v>11</v>
      </c>
      <c r="B43">
        <v>3</v>
      </c>
      <c r="C43" t="s">
        <v>17</v>
      </c>
      <c r="D43">
        <v>48</v>
      </c>
      <c r="E43">
        <v>48</v>
      </c>
      <c r="F43">
        <v>48</v>
      </c>
      <c r="G43">
        <v>0</v>
      </c>
      <c r="H43">
        <v>82</v>
      </c>
      <c r="I43">
        <v>80</v>
      </c>
      <c r="J43" t="s">
        <v>10</v>
      </c>
      <c r="K43" s="1">
        <f>Table1[[#This Row],[patients_admitted]]/Table1[[#This Row],[available_beds]]*100</f>
        <v>100</v>
      </c>
      <c r="L43" s="1">
        <f>Table1[[#This Row],[patients_refused]]/Table1[[#This Row],[patients_request]]*100</f>
        <v>0</v>
      </c>
      <c r="M43" s="1">
        <f>Table1[[#This Row],[patients_request]]/Table1[[#This Row],[available_beds]]</f>
        <v>1</v>
      </c>
    </row>
    <row r="44" spans="1:13" x14ac:dyDescent="0.3">
      <c r="A44">
        <v>11</v>
      </c>
      <c r="B44">
        <v>3</v>
      </c>
      <c r="C44" t="s">
        <v>15</v>
      </c>
      <c r="D44">
        <v>35</v>
      </c>
      <c r="E44">
        <v>50</v>
      </c>
      <c r="F44">
        <v>35</v>
      </c>
      <c r="G44">
        <v>15</v>
      </c>
      <c r="H44">
        <v>75</v>
      </c>
      <c r="I44">
        <v>75</v>
      </c>
      <c r="J44" t="s">
        <v>10</v>
      </c>
      <c r="K44" s="1">
        <f>Table1[[#This Row],[patients_admitted]]/Table1[[#This Row],[available_beds]]*100</f>
        <v>100</v>
      </c>
      <c r="L44" s="1">
        <f>Table1[[#This Row],[patients_refused]]/Table1[[#This Row],[patients_request]]*100</f>
        <v>30</v>
      </c>
      <c r="M44" s="1">
        <f>Table1[[#This Row],[patients_request]]/Table1[[#This Row],[available_beds]]</f>
        <v>1.4285714285714286</v>
      </c>
    </row>
    <row r="45" spans="1:13" x14ac:dyDescent="0.3">
      <c r="A45">
        <v>11</v>
      </c>
      <c r="B45">
        <v>3</v>
      </c>
      <c r="C45" t="s">
        <v>12</v>
      </c>
      <c r="D45">
        <v>14</v>
      </c>
      <c r="E45">
        <v>17</v>
      </c>
      <c r="F45">
        <v>14</v>
      </c>
      <c r="G45">
        <v>3</v>
      </c>
      <c r="H45">
        <v>61</v>
      </c>
      <c r="I45">
        <v>50</v>
      </c>
      <c r="J45" t="s">
        <v>10</v>
      </c>
      <c r="K45" s="1">
        <f>Table1[[#This Row],[patients_admitted]]/Table1[[#This Row],[available_beds]]*100</f>
        <v>100</v>
      </c>
      <c r="L45" s="1">
        <f>Table1[[#This Row],[patients_refused]]/Table1[[#This Row],[patients_request]]*100</f>
        <v>17.647058823529413</v>
      </c>
      <c r="M45" s="1">
        <f>Table1[[#This Row],[patients_request]]/Table1[[#This Row],[available_beds]]</f>
        <v>1.2142857142857142</v>
      </c>
    </row>
    <row r="46" spans="1:13" x14ac:dyDescent="0.3">
      <c r="A46">
        <v>12</v>
      </c>
      <c r="B46">
        <v>3</v>
      </c>
      <c r="C46" t="s">
        <v>16</v>
      </c>
      <c r="D46">
        <v>28</v>
      </c>
      <c r="E46">
        <v>347</v>
      </c>
      <c r="F46">
        <v>28</v>
      </c>
      <c r="G46">
        <v>319</v>
      </c>
      <c r="H46">
        <v>68</v>
      </c>
      <c r="I46">
        <v>83</v>
      </c>
      <c r="J46" t="s">
        <v>11</v>
      </c>
      <c r="K46" s="1">
        <f>Table1[[#This Row],[patients_admitted]]/Table1[[#This Row],[available_beds]]*100</f>
        <v>100</v>
      </c>
      <c r="L46" s="1">
        <f>Table1[[#This Row],[patients_refused]]/Table1[[#This Row],[patients_request]]*100</f>
        <v>91.930835734870314</v>
      </c>
      <c r="M46" s="1">
        <f>Table1[[#This Row],[patients_request]]/Table1[[#This Row],[available_beds]]</f>
        <v>12.392857142857142</v>
      </c>
    </row>
    <row r="47" spans="1:13" x14ac:dyDescent="0.3">
      <c r="A47">
        <v>12</v>
      </c>
      <c r="B47">
        <v>3</v>
      </c>
      <c r="C47" t="s">
        <v>17</v>
      </c>
      <c r="D47">
        <v>38</v>
      </c>
      <c r="E47">
        <v>24</v>
      </c>
      <c r="F47">
        <v>24</v>
      </c>
      <c r="G47">
        <v>0</v>
      </c>
      <c r="H47">
        <v>79</v>
      </c>
      <c r="I47">
        <v>73</v>
      </c>
      <c r="J47" t="s">
        <v>10</v>
      </c>
      <c r="K47" s="1">
        <f>Table1[[#This Row],[patients_admitted]]/Table1[[#This Row],[available_beds]]*100</f>
        <v>63.157894736842103</v>
      </c>
      <c r="L47" s="1">
        <f>Table1[[#This Row],[patients_refused]]/Table1[[#This Row],[patients_request]]*100</f>
        <v>0</v>
      </c>
      <c r="M47" s="1">
        <f>Table1[[#This Row],[patients_request]]/Table1[[#This Row],[available_beds]]</f>
        <v>0.63157894736842102</v>
      </c>
    </row>
    <row r="48" spans="1:13" x14ac:dyDescent="0.3">
      <c r="A48">
        <v>12</v>
      </c>
      <c r="B48">
        <v>3</v>
      </c>
      <c r="C48" t="s">
        <v>15</v>
      </c>
      <c r="D48">
        <v>33</v>
      </c>
      <c r="E48">
        <v>69</v>
      </c>
      <c r="F48">
        <v>33</v>
      </c>
      <c r="G48">
        <v>36</v>
      </c>
      <c r="H48">
        <v>70</v>
      </c>
      <c r="I48">
        <v>98</v>
      </c>
      <c r="J48" t="s">
        <v>10</v>
      </c>
      <c r="K48" s="1">
        <f>Table1[[#This Row],[patients_admitted]]/Table1[[#This Row],[available_beds]]*100</f>
        <v>100</v>
      </c>
      <c r="L48" s="1">
        <f>Table1[[#This Row],[patients_refused]]/Table1[[#This Row],[patients_request]]*100</f>
        <v>52.173913043478258</v>
      </c>
      <c r="M48" s="1">
        <f>Table1[[#This Row],[patients_request]]/Table1[[#This Row],[available_beds]]</f>
        <v>2.0909090909090908</v>
      </c>
    </row>
    <row r="49" spans="1:13" x14ac:dyDescent="0.3">
      <c r="A49">
        <v>12</v>
      </c>
      <c r="B49">
        <v>3</v>
      </c>
      <c r="C49" t="s">
        <v>12</v>
      </c>
      <c r="D49">
        <v>16</v>
      </c>
      <c r="E49">
        <v>13</v>
      </c>
      <c r="F49">
        <v>13</v>
      </c>
      <c r="G49">
        <v>0</v>
      </c>
      <c r="H49">
        <v>79</v>
      </c>
      <c r="I49">
        <v>94</v>
      </c>
      <c r="J49" t="s">
        <v>13</v>
      </c>
      <c r="K49" s="1">
        <f>Table1[[#This Row],[patients_admitted]]/Table1[[#This Row],[available_beds]]*100</f>
        <v>81.25</v>
      </c>
      <c r="L49" s="1">
        <f>Table1[[#This Row],[patients_refused]]/Table1[[#This Row],[patients_request]]*100</f>
        <v>0</v>
      </c>
      <c r="M49" s="1">
        <f>Table1[[#This Row],[patients_request]]/Table1[[#This Row],[available_beds]]</f>
        <v>0.8125</v>
      </c>
    </row>
    <row r="50" spans="1:13" x14ac:dyDescent="0.3">
      <c r="A50">
        <v>13</v>
      </c>
      <c r="B50">
        <v>4</v>
      </c>
      <c r="C50" t="s">
        <v>16</v>
      </c>
      <c r="D50">
        <v>23</v>
      </c>
      <c r="E50">
        <v>142</v>
      </c>
      <c r="F50">
        <v>23</v>
      </c>
      <c r="G50">
        <v>119</v>
      </c>
      <c r="H50">
        <v>77</v>
      </c>
      <c r="I50">
        <v>95</v>
      </c>
      <c r="J50" t="s">
        <v>10</v>
      </c>
      <c r="K50" s="1">
        <f>Table1[[#This Row],[patients_admitted]]/Table1[[#This Row],[available_beds]]*100</f>
        <v>100</v>
      </c>
      <c r="L50" s="1">
        <f>Table1[[#This Row],[patients_refused]]/Table1[[#This Row],[patients_request]]*100</f>
        <v>83.802816901408448</v>
      </c>
      <c r="M50" s="1">
        <f>Table1[[#This Row],[patients_request]]/Table1[[#This Row],[available_beds]]</f>
        <v>6.1739130434782608</v>
      </c>
    </row>
    <row r="51" spans="1:13" x14ac:dyDescent="0.3">
      <c r="A51">
        <v>13</v>
      </c>
      <c r="B51">
        <v>4</v>
      </c>
      <c r="C51" t="s">
        <v>17</v>
      </c>
      <c r="D51">
        <v>41</v>
      </c>
      <c r="E51">
        <v>54</v>
      </c>
      <c r="F51">
        <v>41</v>
      </c>
      <c r="G51">
        <v>13</v>
      </c>
      <c r="H51">
        <v>75</v>
      </c>
      <c r="I51">
        <v>90</v>
      </c>
      <c r="J51" t="s">
        <v>10</v>
      </c>
      <c r="K51" s="1">
        <f>Table1[[#This Row],[patients_admitted]]/Table1[[#This Row],[available_beds]]*100</f>
        <v>100</v>
      </c>
      <c r="L51" s="1">
        <f>Table1[[#This Row],[patients_refused]]/Table1[[#This Row],[patients_request]]*100</f>
        <v>24.074074074074073</v>
      </c>
      <c r="M51" s="1">
        <f>Table1[[#This Row],[patients_request]]/Table1[[#This Row],[available_beds]]</f>
        <v>1.3170731707317074</v>
      </c>
    </row>
    <row r="52" spans="1:13" x14ac:dyDescent="0.3">
      <c r="A52">
        <v>13</v>
      </c>
      <c r="B52">
        <v>4</v>
      </c>
      <c r="C52" t="s">
        <v>15</v>
      </c>
      <c r="D52">
        <v>33</v>
      </c>
      <c r="E52">
        <v>72</v>
      </c>
      <c r="F52">
        <v>33</v>
      </c>
      <c r="G52">
        <v>39</v>
      </c>
      <c r="H52">
        <v>73</v>
      </c>
      <c r="I52">
        <v>70</v>
      </c>
      <c r="J52" t="s">
        <v>10</v>
      </c>
      <c r="K52" s="1">
        <f>Table1[[#This Row],[patients_admitted]]/Table1[[#This Row],[available_beds]]*100</f>
        <v>100</v>
      </c>
      <c r="L52" s="1">
        <f>Table1[[#This Row],[patients_refused]]/Table1[[#This Row],[patients_request]]*100</f>
        <v>54.166666666666664</v>
      </c>
      <c r="M52" s="1">
        <f>Table1[[#This Row],[patients_request]]/Table1[[#This Row],[available_beds]]</f>
        <v>2.1818181818181817</v>
      </c>
    </row>
    <row r="53" spans="1:13" x14ac:dyDescent="0.3">
      <c r="A53">
        <v>13</v>
      </c>
      <c r="B53">
        <v>4</v>
      </c>
      <c r="C53" t="s">
        <v>12</v>
      </c>
      <c r="D53">
        <v>17</v>
      </c>
      <c r="E53">
        <v>12</v>
      </c>
      <c r="F53">
        <v>12</v>
      </c>
      <c r="G53">
        <v>0</v>
      </c>
      <c r="H53">
        <v>66</v>
      </c>
      <c r="I53">
        <v>52</v>
      </c>
      <c r="J53" t="s">
        <v>10</v>
      </c>
      <c r="K53" s="1">
        <f>Table1[[#This Row],[patients_admitted]]/Table1[[#This Row],[available_beds]]*100</f>
        <v>70.588235294117652</v>
      </c>
      <c r="L53" s="1">
        <f>Table1[[#This Row],[patients_refused]]/Table1[[#This Row],[patients_request]]*100</f>
        <v>0</v>
      </c>
      <c r="M53" s="1">
        <f>Table1[[#This Row],[patients_request]]/Table1[[#This Row],[available_beds]]</f>
        <v>0.70588235294117652</v>
      </c>
    </row>
    <row r="54" spans="1:13" x14ac:dyDescent="0.3">
      <c r="A54">
        <v>14</v>
      </c>
      <c r="B54">
        <v>4</v>
      </c>
      <c r="C54" t="s">
        <v>16</v>
      </c>
      <c r="D54">
        <v>15</v>
      </c>
      <c r="E54">
        <v>97</v>
      </c>
      <c r="F54">
        <v>15</v>
      </c>
      <c r="G54">
        <v>82</v>
      </c>
      <c r="H54">
        <v>71</v>
      </c>
      <c r="I54">
        <v>71</v>
      </c>
      <c r="J54" t="s">
        <v>10</v>
      </c>
      <c r="K54" s="1">
        <f>Table1[[#This Row],[patients_admitted]]/Table1[[#This Row],[available_beds]]*100</f>
        <v>100</v>
      </c>
      <c r="L54" s="1">
        <f>Table1[[#This Row],[patients_refused]]/Table1[[#This Row],[patients_request]]*100</f>
        <v>84.536082474226802</v>
      </c>
      <c r="M54" s="1">
        <f>Table1[[#This Row],[patients_request]]/Table1[[#This Row],[available_beds]]</f>
        <v>6.4666666666666668</v>
      </c>
    </row>
    <row r="55" spans="1:13" x14ac:dyDescent="0.3">
      <c r="A55">
        <v>14</v>
      </c>
      <c r="B55">
        <v>4</v>
      </c>
      <c r="C55" t="s">
        <v>17</v>
      </c>
      <c r="D55">
        <v>33</v>
      </c>
      <c r="E55">
        <v>49</v>
      </c>
      <c r="F55">
        <v>33</v>
      </c>
      <c r="G55">
        <v>16</v>
      </c>
      <c r="H55">
        <v>97</v>
      </c>
      <c r="I55">
        <v>87</v>
      </c>
      <c r="J55" t="s">
        <v>10</v>
      </c>
      <c r="K55" s="1">
        <f>Table1[[#This Row],[patients_admitted]]/Table1[[#This Row],[available_beds]]*100</f>
        <v>100</v>
      </c>
      <c r="L55" s="1">
        <f>Table1[[#This Row],[patients_refused]]/Table1[[#This Row],[patients_request]]*100</f>
        <v>32.653061224489797</v>
      </c>
      <c r="M55" s="1">
        <f>Table1[[#This Row],[patients_request]]/Table1[[#This Row],[available_beds]]</f>
        <v>1.4848484848484849</v>
      </c>
    </row>
    <row r="56" spans="1:13" x14ac:dyDescent="0.3">
      <c r="A56">
        <v>14</v>
      </c>
      <c r="B56">
        <v>4</v>
      </c>
      <c r="C56" t="s">
        <v>15</v>
      </c>
      <c r="D56">
        <v>51</v>
      </c>
      <c r="E56">
        <v>47</v>
      </c>
      <c r="F56">
        <v>47</v>
      </c>
      <c r="G56">
        <v>0</v>
      </c>
      <c r="H56">
        <v>86</v>
      </c>
      <c r="I56">
        <v>76</v>
      </c>
      <c r="J56" t="s">
        <v>10</v>
      </c>
      <c r="K56" s="1">
        <f>Table1[[#This Row],[patients_admitted]]/Table1[[#This Row],[available_beds]]*100</f>
        <v>92.156862745098039</v>
      </c>
      <c r="L56" s="1">
        <f>Table1[[#This Row],[patients_refused]]/Table1[[#This Row],[patients_request]]*100</f>
        <v>0</v>
      </c>
      <c r="M56" s="1">
        <f>Table1[[#This Row],[patients_request]]/Table1[[#This Row],[available_beds]]</f>
        <v>0.92156862745098034</v>
      </c>
    </row>
    <row r="57" spans="1:13" x14ac:dyDescent="0.3">
      <c r="A57">
        <v>14</v>
      </c>
      <c r="B57">
        <v>4</v>
      </c>
      <c r="C57" t="s">
        <v>12</v>
      </c>
      <c r="D57">
        <v>10</v>
      </c>
      <c r="E57">
        <v>16</v>
      </c>
      <c r="F57">
        <v>10</v>
      </c>
      <c r="G57">
        <v>6</v>
      </c>
      <c r="H57">
        <v>92</v>
      </c>
      <c r="I57">
        <v>54</v>
      </c>
      <c r="J57" t="s">
        <v>10</v>
      </c>
      <c r="K57" s="1">
        <f>Table1[[#This Row],[patients_admitted]]/Table1[[#This Row],[available_beds]]*100</f>
        <v>100</v>
      </c>
      <c r="L57" s="1">
        <f>Table1[[#This Row],[patients_refused]]/Table1[[#This Row],[patients_request]]*100</f>
        <v>37.5</v>
      </c>
      <c r="M57" s="1">
        <f>Table1[[#This Row],[patients_request]]/Table1[[#This Row],[available_beds]]</f>
        <v>1.6</v>
      </c>
    </row>
    <row r="58" spans="1:13" x14ac:dyDescent="0.3">
      <c r="A58">
        <v>15</v>
      </c>
      <c r="B58">
        <v>4</v>
      </c>
      <c r="C58" t="s">
        <v>16</v>
      </c>
      <c r="D58">
        <v>17</v>
      </c>
      <c r="E58">
        <v>53</v>
      </c>
      <c r="F58">
        <v>17</v>
      </c>
      <c r="G58">
        <v>36</v>
      </c>
      <c r="H58">
        <v>94</v>
      </c>
      <c r="I58">
        <v>98</v>
      </c>
      <c r="J58" t="s">
        <v>10</v>
      </c>
      <c r="K58" s="1">
        <f>Table1[[#This Row],[patients_admitted]]/Table1[[#This Row],[available_beds]]*100</f>
        <v>100</v>
      </c>
      <c r="L58" s="1">
        <f>Table1[[#This Row],[patients_refused]]/Table1[[#This Row],[patients_request]]*100</f>
        <v>67.924528301886795</v>
      </c>
      <c r="M58" s="1">
        <f>Table1[[#This Row],[patients_request]]/Table1[[#This Row],[available_beds]]</f>
        <v>3.1176470588235294</v>
      </c>
    </row>
    <row r="59" spans="1:13" x14ac:dyDescent="0.3">
      <c r="A59">
        <v>15</v>
      </c>
      <c r="B59">
        <v>4</v>
      </c>
      <c r="C59" t="s">
        <v>17</v>
      </c>
      <c r="D59">
        <v>31</v>
      </c>
      <c r="E59">
        <v>124</v>
      </c>
      <c r="F59">
        <v>31</v>
      </c>
      <c r="G59">
        <v>93</v>
      </c>
      <c r="H59">
        <v>65</v>
      </c>
      <c r="I59">
        <v>76</v>
      </c>
      <c r="J59" t="s">
        <v>11</v>
      </c>
      <c r="K59" s="1">
        <f>Table1[[#This Row],[patients_admitted]]/Table1[[#This Row],[available_beds]]*100</f>
        <v>100</v>
      </c>
      <c r="L59" s="1">
        <f>Table1[[#This Row],[patients_refused]]/Table1[[#This Row],[patients_request]]*100</f>
        <v>75</v>
      </c>
      <c r="M59" s="1">
        <f>Table1[[#This Row],[patients_request]]/Table1[[#This Row],[available_beds]]</f>
        <v>4</v>
      </c>
    </row>
    <row r="60" spans="1:13" x14ac:dyDescent="0.3">
      <c r="A60">
        <v>15</v>
      </c>
      <c r="B60">
        <v>4</v>
      </c>
      <c r="C60" t="s">
        <v>15</v>
      </c>
      <c r="D60">
        <v>53</v>
      </c>
      <c r="E60">
        <v>179</v>
      </c>
      <c r="F60">
        <v>53</v>
      </c>
      <c r="G60">
        <v>126</v>
      </c>
      <c r="H60">
        <v>90</v>
      </c>
      <c r="I60">
        <v>76</v>
      </c>
      <c r="J60" t="s">
        <v>11</v>
      </c>
      <c r="K60" s="1">
        <f>Table1[[#This Row],[patients_admitted]]/Table1[[#This Row],[available_beds]]*100</f>
        <v>100</v>
      </c>
      <c r="L60" s="1">
        <f>Table1[[#This Row],[patients_refused]]/Table1[[#This Row],[patients_request]]*100</f>
        <v>70.391061452513966</v>
      </c>
      <c r="M60" s="1">
        <f>Table1[[#This Row],[patients_request]]/Table1[[#This Row],[available_beds]]</f>
        <v>3.3773584905660377</v>
      </c>
    </row>
    <row r="61" spans="1:13" x14ac:dyDescent="0.3">
      <c r="A61">
        <v>15</v>
      </c>
      <c r="B61">
        <v>4</v>
      </c>
      <c r="C61" t="s">
        <v>12</v>
      </c>
      <c r="D61">
        <v>14</v>
      </c>
      <c r="E61">
        <v>11</v>
      </c>
      <c r="F61">
        <v>11</v>
      </c>
      <c r="G61">
        <v>0</v>
      </c>
      <c r="H61">
        <v>92</v>
      </c>
      <c r="I61">
        <v>52</v>
      </c>
      <c r="J61" t="s">
        <v>10</v>
      </c>
      <c r="K61" s="1">
        <f>Table1[[#This Row],[patients_admitted]]/Table1[[#This Row],[available_beds]]*100</f>
        <v>78.571428571428569</v>
      </c>
      <c r="L61" s="1">
        <f>Table1[[#This Row],[patients_refused]]/Table1[[#This Row],[patients_request]]*100</f>
        <v>0</v>
      </c>
      <c r="M61" s="1">
        <f>Table1[[#This Row],[patients_request]]/Table1[[#This Row],[available_beds]]</f>
        <v>0.7857142857142857</v>
      </c>
    </row>
    <row r="62" spans="1:13" x14ac:dyDescent="0.3">
      <c r="A62">
        <v>16</v>
      </c>
      <c r="B62">
        <v>4</v>
      </c>
      <c r="C62" t="s">
        <v>16</v>
      </c>
      <c r="D62">
        <v>23</v>
      </c>
      <c r="E62">
        <v>144</v>
      </c>
      <c r="F62">
        <v>23</v>
      </c>
      <c r="G62">
        <v>121</v>
      </c>
      <c r="H62">
        <v>62</v>
      </c>
      <c r="I62">
        <v>89</v>
      </c>
      <c r="J62" t="s">
        <v>10</v>
      </c>
      <c r="K62" s="1">
        <f>Table1[[#This Row],[patients_admitted]]/Table1[[#This Row],[available_beds]]*100</f>
        <v>100</v>
      </c>
      <c r="L62" s="1">
        <f>Table1[[#This Row],[patients_refused]]/Table1[[#This Row],[patients_request]]*100</f>
        <v>84.027777777777786</v>
      </c>
      <c r="M62" s="1">
        <f>Table1[[#This Row],[patients_request]]/Table1[[#This Row],[available_beds]]</f>
        <v>6.2608695652173916</v>
      </c>
    </row>
    <row r="63" spans="1:13" x14ac:dyDescent="0.3">
      <c r="A63">
        <v>16</v>
      </c>
      <c r="B63">
        <v>4</v>
      </c>
      <c r="C63" t="s">
        <v>17</v>
      </c>
      <c r="D63">
        <v>37</v>
      </c>
      <c r="E63">
        <v>28</v>
      </c>
      <c r="F63">
        <v>28</v>
      </c>
      <c r="G63">
        <v>0</v>
      </c>
      <c r="H63">
        <v>82</v>
      </c>
      <c r="I63">
        <v>31</v>
      </c>
      <c r="J63" t="s">
        <v>14</v>
      </c>
      <c r="K63" s="1">
        <f>Table1[[#This Row],[patients_admitted]]/Table1[[#This Row],[available_beds]]*100</f>
        <v>75.675675675675677</v>
      </c>
      <c r="L63" s="1">
        <f>Table1[[#This Row],[patients_refused]]/Table1[[#This Row],[patients_request]]*100</f>
        <v>0</v>
      </c>
      <c r="M63" s="1">
        <f>Table1[[#This Row],[patients_request]]/Table1[[#This Row],[available_beds]]</f>
        <v>0.7567567567567568</v>
      </c>
    </row>
    <row r="64" spans="1:13" x14ac:dyDescent="0.3">
      <c r="A64">
        <v>16</v>
      </c>
      <c r="B64">
        <v>4</v>
      </c>
      <c r="C64" t="s">
        <v>15</v>
      </c>
      <c r="D64">
        <v>39</v>
      </c>
      <c r="E64">
        <v>41</v>
      </c>
      <c r="F64">
        <v>39</v>
      </c>
      <c r="G64">
        <v>2</v>
      </c>
      <c r="H64">
        <v>85</v>
      </c>
      <c r="I64">
        <v>66</v>
      </c>
      <c r="J64" t="s">
        <v>10</v>
      </c>
      <c r="K64" s="1">
        <f>Table1[[#This Row],[patients_admitted]]/Table1[[#This Row],[available_beds]]*100</f>
        <v>100</v>
      </c>
      <c r="L64" s="1">
        <f>Table1[[#This Row],[patients_refused]]/Table1[[#This Row],[patients_request]]*100</f>
        <v>4.8780487804878048</v>
      </c>
      <c r="M64" s="1">
        <f>Table1[[#This Row],[patients_request]]/Table1[[#This Row],[available_beds]]</f>
        <v>1.0512820512820513</v>
      </c>
    </row>
    <row r="65" spans="1:13" x14ac:dyDescent="0.3">
      <c r="A65">
        <v>16</v>
      </c>
      <c r="B65">
        <v>4</v>
      </c>
      <c r="C65" t="s">
        <v>12</v>
      </c>
      <c r="D65">
        <v>18</v>
      </c>
      <c r="E65">
        <v>15</v>
      </c>
      <c r="F65">
        <v>15</v>
      </c>
      <c r="G65">
        <v>0</v>
      </c>
      <c r="H65">
        <v>98</v>
      </c>
      <c r="I65">
        <v>78</v>
      </c>
      <c r="J65" t="s">
        <v>10</v>
      </c>
      <c r="K65" s="1">
        <f>Table1[[#This Row],[patients_admitted]]/Table1[[#This Row],[available_beds]]*100</f>
        <v>83.333333333333343</v>
      </c>
      <c r="L65" s="1">
        <f>Table1[[#This Row],[patients_refused]]/Table1[[#This Row],[patients_request]]*100</f>
        <v>0</v>
      </c>
      <c r="M65" s="1">
        <f>Table1[[#This Row],[patients_request]]/Table1[[#This Row],[available_beds]]</f>
        <v>0.83333333333333337</v>
      </c>
    </row>
    <row r="66" spans="1:13" x14ac:dyDescent="0.3">
      <c r="A66">
        <v>17</v>
      </c>
      <c r="B66">
        <v>5</v>
      </c>
      <c r="C66" t="s">
        <v>16</v>
      </c>
      <c r="D66">
        <v>21</v>
      </c>
      <c r="E66">
        <v>133</v>
      </c>
      <c r="F66">
        <v>21</v>
      </c>
      <c r="G66">
        <v>112</v>
      </c>
      <c r="H66">
        <v>84</v>
      </c>
      <c r="I66">
        <v>73</v>
      </c>
      <c r="J66" t="s">
        <v>10</v>
      </c>
      <c r="K66" s="1">
        <f>Table1[[#This Row],[patients_admitted]]/Table1[[#This Row],[available_beds]]*100</f>
        <v>100</v>
      </c>
      <c r="L66" s="1">
        <f>Table1[[#This Row],[patients_refused]]/Table1[[#This Row],[patients_request]]*100</f>
        <v>84.210526315789465</v>
      </c>
      <c r="M66" s="1">
        <f>Table1[[#This Row],[patients_request]]/Table1[[#This Row],[available_beds]]</f>
        <v>6.333333333333333</v>
      </c>
    </row>
    <row r="67" spans="1:13" x14ac:dyDescent="0.3">
      <c r="A67">
        <v>17</v>
      </c>
      <c r="B67">
        <v>5</v>
      </c>
      <c r="C67" t="s">
        <v>17</v>
      </c>
      <c r="D67">
        <v>40</v>
      </c>
      <c r="E67">
        <v>23</v>
      </c>
      <c r="F67">
        <v>23</v>
      </c>
      <c r="G67">
        <v>0</v>
      </c>
      <c r="H67">
        <v>95</v>
      </c>
      <c r="I67">
        <v>94</v>
      </c>
      <c r="J67" t="s">
        <v>10</v>
      </c>
      <c r="K67" s="1">
        <f>Table1[[#This Row],[patients_admitted]]/Table1[[#This Row],[available_beds]]*100</f>
        <v>57.499999999999993</v>
      </c>
      <c r="L67" s="1">
        <f>Table1[[#This Row],[patients_refused]]/Table1[[#This Row],[patients_request]]*100</f>
        <v>0</v>
      </c>
      <c r="M67" s="1">
        <f>Table1[[#This Row],[patients_request]]/Table1[[#This Row],[available_beds]]</f>
        <v>0.57499999999999996</v>
      </c>
    </row>
    <row r="68" spans="1:13" x14ac:dyDescent="0.3">
      <c r="A68">
        <v>17</v>
      </c>
      <c r="B68">
        <v>5</v>
      </c>
      <c r="C68" t="s">
        <v>15</v>
      </c>
      <c r="D68">
        <v>33</v>
      </c>
      <c r="E68">
        <v>76</v>
      </c>
      <c r="F68">
        <v>33</v>
      </c>
      <c r="G68">
        <v>43</v>
      </c>
      <c r="H68">
        <v>75</v>
      </c>
      <c r="I68">
        <v>63</v>
      </c>
      <c r="J68" t="s">
        <v>10</v>
      </c>
      <c r="K68" s="1">
        <f>Table1[[#This Row],[patients_admitted]]/Table1[[#This Row],[available_beds]]*100</f>
        <v>100</v>
      </c>
      <c r="L68" s="1">
        <f>Table1[[#This Row],[patients_refused]]/Table1[[#This Row],[patients_request]]*100</f>
        <v>56.578947368421048</v>
      </c>
      <c r="M68" s="1">
        <f>Table1[[#This Row],[patients_request]]/Table1[[#This Row],[available_beds]]</f>
        <v>2.3030303030303032</v>
      </c>
    </row>
    <row r="69" spans="1:13" x14ac:dyDescent="0.3">
      <c r="A69">
        <v>17</v>
      </c>
      <c r="B69">
        <v>5</v>
      </c>
      <c r="C69" t="s">
        <v>12</v>
      </c>
      <c r="D69">
        <v>14</v>
      </c>
      <c r="E69">
        <v>17</v>
      </c>
      <c r="F69">
        <v>14</v>
      </c>
      <c r="G69">
        <v>3</v>
      </c>
      <c r="H69">
        <v>87</v>
      </c>
      <c r="I69">
        <v>83</v>
      </c>
      <c r="J69" t="s">
        <v>10</v>
      </c>
      <c r="K69" s="1">
        <f>Table1[[#This Row],[patients_admitted]]/Table1[[#This Row],[available_beds]]*100</f>
        <v>100</v>
      </c>
      <c r="L69" s="1">
        <f>Table1[[#This Row],[patients_refused]]/Table1[[#This Row],[patients_request]]*100</f>
        <v>17.647058823529413</v>
      </c>
      <c r="M69" s="1">
        <f>Table1[[#This Row],[patients_request]]/Table1[[#This Row],[available_beds]]</f>
        <v>1.2142857142857142</v>
      </c>
    </row>
    <row r="70" spans="1:13" x14ac:dyDescent="0.3">
      <c r="A70">
        <v>18</v>
      </c>
      <c r="B70">
        <v>5</v>
      </c>
      <c r="C70" t="s">
        <v>16</v>
      </c>
      <c r="D70">
        <v>18</v>
      </c>
      <c r="E70">
        <v>100</v>
      </c>
      <c r="F70">
        <v>18</v>
      </c>
      <c r="G70">
        <v>82</v>
      </c>
      <c r="H70">
        <v>81</v>
      </c>
      <c r="I70">
        <v>80</v>
      </c>
      <c r="J70" t="s">
        <v>13</v>
      </c>
      <c r="K70" s="1">
        <f>Table1[[#This Row],[patients_admitted]]/Table1[[#This Row],[available_beds]]*100</f>
        <v>100</v>
      </c>
      <c r="L70" s="1">
        <f>Table1[[#This Row],[patients_refused]]/Table1[[#This Row],[patients_request]]*100</f>
        <v>82</v>
      </c>
      <c r="M70" s="1">
        <f>Table1[[#This Row],[patients_request]]/Table1[[#This Row],[available_beds]]</f>
        <v>5.5555555555555554</v>
      </c>
    </row>
    <row r="71" spans="1:13" x14ac:dyDescent="0.3">
      <c r="A71">
        <v>18</v>
      </c>
      <c r="B71">
        <v>5</v>
      </c>
      <c r="C71" t="s">
        <v>17</v>
      </c>
      <c r="D71">
        <v>43</v>
      </c>
      <c r="E71">
        <v>36</v>
      </c>
      <c r="F71">
        <v>36</v>
      </c>
      <c r="G71">
        <v>0</v>
      </c>
      <c r="H71">
        <v>81</v>
      </c>
      <c r="I71">
        <v>98</v>
      </c>
      <c r="J71" t="s">
        <v>10</v>
      </c>
      <c r="K71" s="1">
        <f>Table1[[#This Row],[patients_admitted]]/Table1[[#This Row],[available_beds]]*100</f>
        <v>83.720930232558146</v>
      </c>
      <c r="L71" s="1">
        <f>Table1[[#This Row],[patients_refused]]/Table1[[#This Row],[patients_request]]*100</f>
        <v>0</v>
      </c>
      <c r="M71" s="1">
        <f>Table1[[#This Row],[patients_request]]/Table1[[#This Row],[available_beds]]</f>
        <v>0.83720930232558144</v>
      </c>
    </row>
    <row r="72" spans="1:13" x14ac:dyDescent="0.3">
      <c r="A72">
        <v>18</v>
      </c>
      <c r="B72">
        <v>5</v>
      </c>
      <c r="C72" t="s">
        <v>15</v>
      </c>
      <c r="D72">
        <v>31</v>
      </c>
      <c r="E72">
        <v>25</v>
      </c>
      <c r="F72">
        <v>25</v>
      </c>
      <c r="G72">
        <v>0</v>
      </c>
      <c r="H72">
        <v>96</v>
      </c>
      <c r="I72">
        <v>62</v>
      </c>
      <c r="J72" t="s">
        <v>14</v>
      </c>
      <c r="K72" s="1">
        <f>Table1[[#This Row],[patients_admitted]]/Table1[[#This Row],[available_beds]]*100</f>
        <v>80.645161290322577</v>
      </c>
      <c r="L72" s="1">
        <f>Table1[[#This Row],[patients_refused]]/Table1[[#This Row],[patients_request]]*100</f>
        <v>0</v>
      </c>
      <c r="M72" s="1">
        <f>Table1[[#This Row],[patients_request]]/Table1[[#This Row],[available_beds]]</f>
        <v>0.80645161290322576</v>
      </c>
    </row>
    <row r="73" spans="1:13" x14ac:dyDescent="0.3">
      <c r="A73">
        <v>18</v>
      </c>
      <c r="B73">
        <v>5</v>
      </c>
      <c r="C73" t="s">
        <v>12</v>
      </c>
      <c r="D73">
        <v>12</v>
      </c>
      <c r="E73">
        <v>9</v>
      </c>
      <c r="F73">
        <v>9</v>
      </c>
      <c r="G73">
        <v>0</v>
      </c>
      <c r="H73">
        <v>63</v>
      </c>
      <c r="I73">
        <v>55</v>
      </c>
      <c r="J73" t="s">
        <v>10</v>
      </c>
      <c r="K73" s="1">
        <f>Table1[[#This Row],[patients_admitted]]/Table1[[#This Row],[available_beds]]*100</f>
        <v>75</v>
      </c>
      <c r="L73" s="1">
        <f>Table1[[#This Row],[patients_refused]]/Table1[[#This Row],[patients_request]]*100</f>
        <v>0</v>
      </c>
      <c r="M73" s="1">
        <f>Table1[[#This Row],[patients_request]]/Table1[[#This Row],[available_beds]]</f>
        <v>0.75</v>
      </c>
    </row>
    <row r="74" spans="1:13" x14ac:dyDescent="0.3">
      <c r="A74">
        <v>19</v>
      </c>
      <c r="B74">
        <v>5</v>
      </c>
      <c r="C74" t="s">
        <v>16</v>
      </c>
      <c r="D74">
        <v>16</v>
      </c>
      <c r="E74">
        <v>70</v>
      </c>
      <c r="F74">
        <v>16</v>
      </c>
      <c r="G74">
        <v>54</v>
      </c>
      <c r="H74">
        <v>99</v>
      </c>
      <c r="I74">
        <v>45</v>
      </c>
      <c r="J74" t="s">
        <v>14</v>
      </c>
      <c r="K74" s="1">
        <f>Table1[[#This Row],[patients_admitted]]/Table1[[#This Row],[available_beds]]*100</f>
        <v>100</v>
      </c>
      <c r="L74" s="1">
        <f>Table1[[#This Row],[patients_refused]]/Table1[[#This Row],[patients_request]]*100</f>
        <v>77.142857142857153</v>
      </c>
      <c r="M74" s="1">
        <f>Table1[[#This Row],[patients_request]]/Table1[[#This Row],[available_beds]]</f>
        <v>4.375</v>
      </c>
    </row>
    <row r="75" spans="1:13" x14ac:dyDescent="0.3">
      <c r="A75">
        <v>19</v>
      </c>
      <c r="B75">
        <v>5</v>
      </c>
      <c r="C75" t="s">
        <v>17</v>
      </c>
      <c r="D75">
        <v>42</v>
      </c>
      <c r="E75">
        <v>44</v>
      </c>
      <c r="F75">
        <v>42</v>
      </c>
      <c r="G75">
        <v>2</v>
      </c>
      <c r="H75">
        <v>78</v>
      </c>
      <c r="I75">
        <v>66</v>
      </c>
      <c r="J75" t="s">
        <v>10</v>
      </c>
      <c r="K75" s="1">
        <f>Table1[[#This Row],[patients_admitted]]/Table1[[#This Row],[available_beds]]*100</f>
        <v>100</v>
      </c>
      <c r="L75" s="1">
        <f>Table1[[#This Row],[patients_refused]]/Table1[[#This Row],[patients_request]]*100</f>
        <v>4.5454545454545459</v>
      </c>
      <c r="M75" s="1">
        <f>Table1[[#This Row],[patients_request]]/Table1[[#This Row],[available_beds]]</f>
        <v>1.0476190476190477</v>
      </c>
    </row>
    <row r="76" spans="1:13" x14ac:dyDescent="0.3">
      <c r="A76">
        <v>19</v>
      </c>
      <c r="B76">
        <v>5</v>
      </c>
      <c r="C76" t="s">
        <v>15</v>
      </c>
      <c r="D76">
        <v>43</v>
      </c>
      <c r="E76">
        <v>60</v>
      </c>
      <c r="F76">
        <v>43</v>
      </c>
      <c r="G76">
        <v>17</v>
      </c>
      <c r="H76">
        <v>85</v>
      </c>
      <c r="I76">
        <v>86</v>
      </c>
      <c r="J76" t="s">
        <v>10</v>
      </c>
      <c r="K76" s="1">
        <f>Table1[[#This Row],[patients_admitted]]/Table1[[#This Row],[available_beds]]*100</f>
        <v>100</v>
      </c>
      <c r="L76" s="1">
        <f>Table1[[#This Row],[patients_refused]]/Table1[[#This Row],[patients_request]]*100</f>
        <v>28.333333333333332</v>
      </c>
      <c r="M76" s="1">
        <f>Table1[[#This Row],[patients_request]]/Table1[[#This Row],[available_beds]]</f>
        <v>1.3953488372093024</v>
      </c>
    </row>
    <row r="77" spans="1:13" x14ac:dyDescent="0.3">
      <c r="A77">
        <v>19</v>
      </c>
      <c r="B77">
        <v>5</v>
      </c>
      <c r="C77" t="s">
        <v>12</v>
      </c>
      <c r="D77">
        <v>14</v>
      </c>
      <c r="E77">
        <v>17</v>
      </c>
      <c r="F77">
        <v>14</v>
      </c>
      <c r="G77">
        <v>3</v>
      </c>
      <c r="H77">
        <v>68</v>
      </c>
      <c r="I77">
        <v>61</v>
      </c>
      <c r="J77" t="s">
        <v>10</v>
      </c>
      <c r="K77" s="1">
        <f>Table1[[#This Row],[patients_admitted]]/Table1[[#This Row],[available_beds]]*100</f>
        <v>100</v>
      </c>
      <c r="L77" s="1">
        <f>Table1[[#This Row],[patients_refused]]/Table1[[#This Row],[patients_request]]*100</f>
        <v>17.647058823529413</v>
      </c>
      <c r="M77" s="1">
        <f>Table1[[#This Row],[patients_request]]/Table1[[#This Row],[available_beds]]</f>
        <v>1.2142857142857142</v>
      </c>
    </row>
    <row r="78" spans="1:13" x14ac:dyDescent="0.3">
      <c r="A78">
        <v>20</v>
      </c>
      <c r="B78">
        <v>5</v>
      </c>
      <c r="C78" t="s">
        <v>16</v>
      </c>
      <c r="D78">
        <v>21</v>
      </c>
      <c r="E78">
        <v>45</v>
      </c>
      <c r="F78">
        <v>21</v>
      </c>
      <c r="G78">
        <v>24</v>
      </c>
      <c r="H78">
        <v>93</v>
      </c>
      <c r="I78">
        <v>81</v>
      </c>
      <c r="J78" t="s">
        <v>10</v>
      </c>
      <c r="K78" s="1">
        <f>Table1[[#This Row],[patients_admitted]]/Table1[[#This Row],[available_beds]]*100</f>
        <v>100</v>
      </c>
      <c r="L78" s="1">
        <f>Table1[[#This Row],[patients_refused]]/Table1[[#This Row],[patients_request]]*100</f>
        <v>53.333333333333336</v>
      </c>
      <c r="M78" s="1">
        <f>Table1[[#This Row],[patients_request]]/Table1[[#This Row],[available_beds]]</f>
        <v>2.1428571428571428</v>
      </c>
    </row>
    <row r="79" spans="1:13" x14ac:dyDescent="0.3">
      <c r="A79">
        <v>20</v>
      </c>
      <c r="B79">
        <v>5</v>
      </c>
      <c r="C79" t="s">
        <v>17</v>
      </c>
      <c r="D79">
        <v>31</v>
      </c>
      <c r="E79">
        <v>39</v>
      </c>
      <c r="F79">
        <v>31</v>
      </c>
      <c r="G79">
        <v>8</v>
      </c>
      <c r="H79">
        <v>99</v>
      </c>
      <c r="I79">
        <v>94</v>
      </c>
      <c r="J79" t="s">
        <v>10</v>
      </c>
      <c r="K79" s="1">
        <f>Table1[[#This Row],[patients_admitted]]/Table1[[#This Row],[available_beds]]*100</f>
        <v>100</v>
      </c>
      <c r="L79" s="1">
        <f>Table1[[#This Row],[patients_refused]]/Table1[[#This Row],[patients_request]]*100</f>
        <v>20.512820512820511</v>
      </c>
      <c r="M79" s="1">
        <f>Table1[[#This Row],[patients_request]]/Table1[[#This Row],[available_beds]]</f>
        <v>1.2580645161290323</v>
      </c>
    </row>
    <row r="80" spans="1:13" x14ac:dyDescent="0.3">
      <c r="A80">
        <v>20</v>
      </c>
      <c r="B80">
        <v>5</v>
      </c>
      <c r="C80" t="s">
        <v>15</v>
      </c>
      <c r="D80">
        <v>40</v>
      </c>
      <c r="E80">
        <v>70</v>
      </c>
      <c r="F80">
        <v>40</v>
      </c>
      <c r="G80">
        <v>30</v>
      </c>
      <c r="H80">
        <v>64</v>
      </c>
      <c r="I80">
        <v>71</v>
      </c>
      <c r="J80" t="s">
        <v>10</v>
      </c>
      <c r="K80" s="1">
        <f>Table1[[#This Row],[patients_admitted]]/Table1[[#This Row],[available_beds]]*100</f>
        <v>100</v>
      </c>
      <c r="L80" s="1">
        <f>Table1[[#This Row],[patients_refused]]/Table1[[#This Row],[patients_request]]*100</f>
        <v>42.857142857142854</v>
      </c>
      <c r="M80" s="1">
        <f>Table1[[#This Row],[patients_request]]/Table1[[#This Row],[available_beds]]</f>
        <v>1.75</v>
      </c>
    </row>
    <row r="81" spans="1:13" x14ac:dyDescent="0.3">
      <c r="A81">
        <v>20</v>
      </c>
      <c r="B81">
        <v>5</v>
      </c>
      <c r="C81" t="s">
        <v>12</v>
      </c>
      <c r="D81">
        <v>10</v>
      </c>
      <c r="E81">
        <v>14</v>
      </c>
      <c r="F81">
        <v>10</v>
      </c>
      <c r="G81">
        <v>4</v>
      </c>
      <c r="H81">
        <v>85</v>
      </c>
      <c r="I81">
        <v>65</v>
      </c>
      <c r="J81" t="s">
        <v>10</v>
      </c>
      <c r="K81" s="1">
        <f>Table1[[#This Row],[patients_admitted]]/Table1[[#This Row],[available_beds]]*100</f>
        <v>100</v>
      </c>
      <c r="L81" s="1">
        <f>Table1[[#This Row],[patients_refused]]/Table1[[#This Row],[patients_request]]*100</f>
        <v>28.571428571428569</v>
      </c>
      <c r="M81" s="1">
        <f>Table1[[#This Row],[patients_request]]/Table1[[#This Row],[available_beds]]</f>
        <v>1.4</v>
      </c>
    </row>
    <row r="82" spans="1:13" x14ac:dyDescent="0.3">
      <c r="A82">
        <v>21</v>
      </c>
      <c r="B82">
        <v>6</v>
      </c>
      <c r="C82" t="s">
        <v>16</v>
      </c>
      <c r="D82">
        <v>18</v>
      </c>
      <c r="E82">
        <v>95</v>
      </c>
      <c r="F82">
        <v>18</v>
      </c>
      <c r="G82">
        <v>77</v>
      </c>
      <c r="H82">
        <v>88</v>
      </c>
      <c r="I82">
        <v>63</v>
      </c>
      <c r="J82" t="s">
        <v>10</v>
      </c>
      <c r="K82" s="1">
        <f>Table1[[#This Row],[patients_admitted]]/Table1[[#This Row],[available_beds]]*100</f>
        <v>100</v>
      </c>
      <c r="L82" s="1">
        <f>Table1[[#This Row],[patients_refused]]/Table1[[#This Row],[patients_request]]*100</f>
        <v>81.05263157894737</v>
      </c>
      <c r="M82" s="1">
        <f>Table1[[#This Row],[patients_request]]/Table1[[#This Row],[available_beds]]</f>
        <v>5.2777777777777777</v>
      </c>
    </row>
    <row r="83" spans="1:13" x14ac:dyDescent="0.3">
      <c r="A83">
        <v>21</v>
      </c>
      <c r="B83">
        <v>6</v>
      </c>
      <c r="C83" t="s">
        <v>17</v>
      </c>
      <c r="D83">
        <v>30</v>
      </c>
      <c r="E83">
        <v>44</v>
      </c>
      <c r="F83">
        <v>30</v>
      </c>
      <c r="G83">
        <v>14</v>
      </c>
      <c r="H83">
        <v>64</v>
      </c>
      <c r="I83">
        <v>67</v>
      </c>
      <c r="J83" t="s">
        <v>13</v>
      </c>
      <c r="K83" s="1">
        <f>Table1[[#This Row],[patients_admitted]]/Table1[[#This Row],[available_beds]]*100</f>
        <v>100</v>
      </c>
      <c r="L83" s="1">
        <f>Table1[[#This Row],[patients_refused]]/Table1[[#This Row],[patients_request]]*100</f>
        <v>31.818181818181817</v>
      </c>
      <c r="M83" s="1">
        <f>Table1[[#This Row],[patients_request]]/Table1[[#This Row],[available_beds]]</f>
        <v>1.4666666666666666</v>
      </c>
    </row>
    <row r="84" spans="1:13" x14ac:dyDescent="0.3">
      <c r="A84">
        <v>21</v>
      </c>
      <c r="B84">
        <v>6</v>
      </c>
      <c r="C84" t="s">
        <v>15</v>
      </c>
      <c r="D84">
        <v>45</v>
      </c>
      <c r="E84">
        <v>70</v>
      </c>
      <c r="F84">
        <v>45</v>
      </c>
      <c r="G84">
        <v>25</v>
      </c>
      <c r="H84">
        <v>95</v>
      </c>
      <c r="I84">
        <v>82</v>
      </c>
      <c r="J84" t="s">
        <v>10</v>
      </c>
      <c r="K84" s="1">
        <f>Table1[[#This Row],[patients_admitted]]/Table1[[#This Row],[available_beds]]*100</f>
        <v>100</v>
      </c>
      <c r="L84" s="1">
        <f>Table1[[#This Row],[patients_refused]]/Table1[[#This Row],[patients_request]]*100</f>
        <v>35.714285714285715</v>
      </c>
      <c r="M84" s="1">
        <f>Table1[[#This Row],[patients_request]]/Table1[[#This Row],[available_beds]]</f>
        <v>1.5555555555555556</v>
      </c>
    </row>
    <row r="85" spans="1:13" x14ac:dyDescent="0.3">
      <c r="A85">
        <v>21</v>
      </c>
      <c r="B85">
        <v>6</v>
      </c>
      <c r="C85" t="s">
        <v>12</v>
      </c>
      <c r="D85">
        <v>12</v>
      </c>
      <c r="E85">
        <v>9</v>
      </c>
      <c r="F85">
        <v>9</v>
      </c>
      <c r="G85">
        <v>0</v>
      </c>
      <c r="H85">
        <v>69</v>
      </c>
      <c r="I85">
        <v>54</v>
      </c>
      <c r="J85" t="s">
        <v>10</v>
      </c>
      <c r="K85" s="1">
        <f>Table1[[#This Row],[patients_admitted]]/Table1[[#This Row],[available_beds]]*100</f>
        <v>75</v>
      </c>
      <c r="L85" s="1">
        <f>Table1[[#This Row],[patients_refused]]/Table1[[#This Row],[patients_request]]*100</f>
        <v>0</v>
      </c>
      <c r="M85" s="1">
        <f>Table1[[#This Row],[patients_request]]/Table1[[#This Row],[available_beds]]</f>
        <v>0.75</v>
      </c>
    </row>
    <row r="86" spans="1:13" x14ac:dyDescent="0.3">
      <c r="A86">
        <v>22</v>
      </c>
      <c r="B86">
        <v>6</v>
      </c>
      <c r="C86" t="s">
        <v>16</v>
      </c>
      <c r="D86">
        <v>16</v>
      </c>
      <c r="E86">
        <v>129</v>
      </c>
      <c r="F86">
        <v>16</v>
      </c>
      <c r="G86">
        <v>113</v>
      </c>
      <c r="H86">
        <v>69</v>
      </c>
      <c r="I86">
        <v>68</v>
      </c>
      <c r="J86" t="s">
        <v>10</v>
      </c>
      <c r="K86" s="1">
        <f>Table1[[#This Row],[patients_admitted]]/Table1[[#This Row],[available_beds]]*100</f>
        <v>100</v>
      </c>
      <c r="L86" s="1">
        <f>Table1[[#This Row],[patients_refused]]/Table1[[#This Row],[patients_request]]*100</f>
        <v>87.596899224806208</v>
      </c>
      <c r="M86" s="1">
        <f>Table1[[#This Row],[patients_request]]/Table1[[#This Row],[available_beds]]</f>
        <v>8.0625</v>
      </c>
    </row>
    <row r="87" spans="1:13" x14ac:dyDescent="0.3">
      <c r="A87">
        <v>22</v>
      </c>
      <c r="B87">
        <v>6</v>
      </c>
      <c r="C87" t="s">
        <v>17</v>
      </c>
      <c r="D87">
        <v>18</v>
      </c>
      <c r="E87">
        <v>21</v>
      </c>
      <c r="F87">
        <v>18</v>
      </c>
      <c r="G87">
        <v>3</v>
      </c>
      <c r="H87">
        <v>63</v>
      </c>
      <c r="I87">
        <v>65</v>
      </c>
      <c r="J87" t="s">
        <v>10</v>
      </c>
      <c r="K87" s="1">
        <f>Table1[[#This Row],[patients_admitted]]/Table1[[#This Row],[available_beds]]*100</f>
        <v>100</v>
      </c>
      <c r="L87" s="1">
        <f>Table1[[#This Row],[patients_refused]]/Table1[[#This Row],[patients_request]]*100</f>
        <v>14.285714285714285</v>
      </c>
      <c r="M87" s="1">
        <f>Table1[[#This Row],[patients_request]]/Table1[[#This Row],[available_beds]]</f>
        <v>1.1666666666666667</v>
      </c>
    </row>
    <row r="88" spans="1:13" x14ac:dyDescent="0.3">
      <c r="A88">
        <v>22</v>
      </c>
      <c r="B88">
        <v>6</v>
      </c>
      <c r="C88" t="s">
        <v>15</v>
      </c>
      <c r="D88">
        <v>46</v>
      </c>
      <c r="E88">
        <v>36</v>
      </c>
      <c r="F88">
        <v>36</v>
      </c>
      <c r="G88">
        <v>0</v>
      </c>
      <c r="H88">
        <v>87</v>
      </c>
      <c r="I88">
        <v>88</v>
      </c>
      <c r="J88" t="s">
        <v>13</v>
      </c>
      <c r="K88" s="1">
        <f>Table1[[#This Row],[patients_admitted]]/Table1[[#This Row],[available_beds]]*100</f>
        <v>78.260869565217391</v>
      </c>
      <c r="L88" s="1">
        <f>Table1[[#This Row],[patients_refused]]/Table1[[#This Row],[patients_request]]*100</f>
        <v>0</v>
      </c>
      <c r="M88" s="1">
        <f>Table1[[#This Row],[patients_request]]/Table1[[#This Row],[available_beds]]</f>
        <v>0.78260869565217395</v>
      </c>
    </row>
    <row r="89" spans="1:13" x14ac:dyDescent="0.3">
      <c r="A89">
        <v>22</v>
      </c>
      <c r="B89">
        <v>6</v>
      </c>
      <c r="C89" t="s">
        <v>12</v>
      </c>
      <c r="D89">
        <v>9</v>
      </c>
      <c r="E89">
        <v>6</v>
      </c>
      <c r="F89">
        <v>6</v>
      </c>
      <c r="G89">
        <v>0</v>
      </c>
      <c r="H89">
        <v>92</v>
      </c>
      <c r="I89">
        <v>82</v>
      </c>
      <c r="J89" t="s">
        <v>10</v>
      </c>
      <c r="K89" s="1">
        <f>Table1[[#This Row],[patients_admitted]]/Table1[[#This Row],[available_beds]]*100</f>
        <v>66.666666666666657</v>
      </c>
      <c r="L89" s="1">
        <f>Table1[[#This Row],[patients_refused]]/Table1[[#This Row],[patients_request]]*100</f>
        <v>0</v>
      </c>
      <c r="M89" s="1">
        <f>Table1[[#This Row],[patients_request]]/Table1[[#This Row],[available_beds]]</f>
        <v>0.66666666666666663</v>
      </c>
    </row>
    <row r="90" spans="1:13" x14ac:dyDescent="0.3">
      <c r="A90">
        <v>23</v>
      </c>
      <c r="B90">
        <v>6</v>
      </c>
      <c r="C90" t="s">
        <v>16</v>
      </c>
      <c r="D90">
        <v>22</v>
      </c>
      <c r="E90">
        <v>54</v>
      </c>
      <c r="F90">
        <v>22</v>
      </c>
      <c r="G90">
        <v>32</v>
      </c>
      <c r="H90">
        <v>62</v>
      </c>
      <c r="I90">
        <v>50</v>
      </c>
      <c r="J90" t="s">
        <v>10</v>
      </c>
      <c r="K90" s="1">
        <f>Table1[[#This Row],[patients_admitted]]/Table1[[#This Row],[available_beds]]*100</f>
        <v>100</v>
      </c>
      <c r="L90" s="1">
        <f>Table1[[#This Row],[patients_refused]]/Table1[[#This Row],[patients_request]]*100</f>
        <v>59.259259259259252</v>
      </c>
      <c r="M90" s="1">
        <f>Table1[[#This Row],[patients_request]]/Table1[[#This Row],[available_beds]]</f>
        <v>2.4545454545454546</v>
      </c>
    </row>
    <row r="91" spans="1:13" x14ac:dyDescent="0.3">
      <c r="A91">
        <v>23</v>
      </c>
      <c r="B91">
        <v>6</v>
      </c>
      <c r="C91" t="s">
        <v>17</v>
      </c>
      <c r="D91">
        <v>26</v>
      </c>
      <c r="E91">
        <v>43</v>
      </c>
      <c r="F91">
        <v>26</v>
      </c>
      <c r="G91">
        <v>17</v>
      </c>
      <c r="H91">
        <v>72</v>
      </c>
      <c r="I91">
        <v>61</v>
      </c>
      <c r="J91" t="s">
        <v>10</v>
      </c>
      <c r="K91" s="1">
        <f>Table1[[#This Row],[patients_admitted]]/Table1[[#This Row],[available_beds]]*100</f>
        <v>100</v>
      </c>
      <c r="L91" s="1">
        <f>Table1[[#This Row],[patients_refused]]/Table1[[#This Row],[patients_request]]*100</f>
        <v>39.534883720930232</v>
      </c>
      <c r="M91" s="1">
        <f>Table1[[#This Row],[patients_request]]/Table1[[#This Row],[available_beds]]</f>
        <v>1.6538461538461537</v>
      </c>
    </row>
    <row r="92" spans="1:13" x14ac:dyDescent="0.3">
      <c r="A92">
        <v>23</v>
      </c>
      <c r="B92">
        <v>6</v>
      </c>
      <c r="C92" t="s">
        <v>15</v>
      </c>
      <c r="D92">
        <v>27</v>
      </c>
      <c r="E92">
        <v>81</v>
      </c>
      <c r="F92">
        <v>27</v>
      </c>
      <c r="G92">
        <v>54</v>
      </c>
      <c r="H92">
        <v>94</v>
      </c>
      <c r="I92">
        <v>77</v>
      </c>
      <c r="J92" t="s">
        <v>13</v>
      </c>
      <c r="K92" s="1">
        <f>Table1[[#This Row],[patients_admitted]]/Table1[[#This Row],[available_beds]]*100</f>
        <v>100</v>
      </c>
      <c r="L92" s="1">
        <f>Table1[[#This Row],[patients_refused]]/Table1[[#This Row],[patients_request]]*100</f>
        <v>66.666666666666657</v>
      </c>
      <c r="M92" s="1">
        <f>Table1[[#This Row],[patients_request]]/Table1[[#This Row],[available_beds]]</f>
        <v>3</v>
      </c>
    </row>
    <row r="93" spans="1:13" x14ac:dyDescent="0.3">
      <c r="A93">
        <v>23</v>
      </c>
      <c r="B93">
        <v>6</v>
      </c>
      <c r="C93" t="s">
        <v>12</v>
      </c>
      <c r="D93">
        <v>17</v>
      </c>
      <c r="E93">
        <v>12</v>
      </c>
      <c r="F93">
        <v>12</v>
      </c>
      <c r="G93">
        <v>0</v>
      </c>
      <c r="H93">
        <v>85</v>
      </c>
      <c r="I93">
        <v>83</v>
      </c>
      <c r="J93" t="s">
        <v>10</v>
      </c>
      <c r="K93" s="1">
        <f>Table1[[#This Row],[patients_admitted]]/Table1[[#This Row],[available_beds]]*100</f>
        <v>70.588235294117652</v>
      </c>
      <c r="L93" s="1">
        <f>Table1[[#This Row],[patients_refused]]/Table1[[#This Row],[patients_request]]*100</f>
        <v>0</v>
      </c>
      <c r="M93" s="1">
        <f>Table1[[#This Row],[patients_request]]/Table1[[#This Row],[available_beds]]</f>
        <v>0.70588235294117652</v>
      </c>
    </row>
    <row r="94" spans="1:13" x14ac:dyDescent="0.3">
      <c r="A94">
        <v>24</v>
      </c>
      <c r="B94">
        <v>6</v>
      </c>
      <c r="C94" t="s">
        <v>16</v>
      </c>
      <c r="D94">
        <v>18</v>
      </c>
      <c r="E94">
        <v>105</v>
      </c>
      <c r="F94">
        <v>18</v>
      </c>
      <c r="G94">
        <v>87</v>
      </c>
      <c r="H94">
        <v>70</v>
      </c>
      <c r="I94">
        <v>78</v>
      </c>
      <c r="J94" t="s">
        <v>10</v>
      </c>
      <c r="K94" s="1">
        <f>Table1[[#This Row],[patients_admitted]]/Table1[[#This Row],[available_beds]]*100</f>
        <v>100</v>
      </c>
      <c r="L94" s="1">
        <f>Table1[[#This Row],[patients_refused]]/Table1[[#This Row],[patients_request]]*100</f>
        <v>82.857142857142861</v>
      </c>
      <c r="M94" s="1">
        <f>Table1[[#This Row],[patients_request]]/Table1[[#This Row],[available_beds]]</f>
        <v>5.833333333333333</v>
      </c>
    </row>
    <row r="95" spans="1:13" x14ac:dyDescent="0.3">
      <c r="A95">
        <v>24</v>
      </c>
      <c r="B95">
        <v>6</v>
      </c>
      <c r="C95" t="s">
        <v>17</v>
      </c>
      <c r="D95">
        <v>39</v>
      </c>
      <c r="E95">
        <v>21</v>
      </c>
      <c r="F95">
        <v>21</v>
      </c>
      <c r="G95">
        <v>0</v>
      </c>
      <c r="H95">
        <v>95</v>
      </c>
      <c r="I95">
        <v>39</v>
      </c>
      <c r="J95" t="s">
        <v>14</v>
      </c>
      <c r="K95" s="1">
        <f>Table1[[#This Row],[patients_admitted]]/Table1[[#This Row],[available_beds]]*100</f>
        <v>53.846153846153847</v>
      </c>
      <c r="L95" s="1">
        <f>Table1[[#This Row],[patients_refused]]/Table1[[#This Row],[patients_request]]*100</f>
        <v>0</v>
      </c>
      <c r="M95" s="1">
        <f>Table1[[#This Row],[patients_request]]/Table1[[#This Row],[available_beds]]</f>
        <v>0.53846153846153844</v>
      </c>
    </row>
    <row r="96" spans="1:13" x14ac:dyDescent="0.3">
      <c r="A96">
        <v>24</v>
      </c>
      <c r="B96">
        <v>6</v>
      </c>
      <c r="C96" t="s">
        <v>15</v>
      </c>
      <c r="D96">
        <v>47</v>
      </c>
      <c r="E96">
        <v>66</v>
      </c>
      <c r="F96">
        <v>47</v>
      </c>
      <c r="G96">
        <v>19</v>
      </c>
      <c r="H96">
        <v>94</v>
      </c>
      <c r="I96">
        <v>97</v>
      </c>
      <c r="J96" t="s">
        <v>10</v>
      </c>
      <c r="K96" s="1">
        <f>Table1[[#This Row],[patients_admitted]]/Table1[[#This Row],[available_beds]]*100</f>
        <v>100</v>
      </c>
      <c r="L96" s="1">
        <f>Table1[[#This Row],[patients_refused]]/Table1[[#This Row],[patients_request]]*100</f>
        <v>28.787878787878789</v>
      </c>
      <c r="M96" s="1">
        <f>Table1[[#This Row],[patients_request]]/Table1[[#This Row],[available_beds]]</f>
        <v>1.4042553191489362</v>
      </c>
    </row>
    <row r="97" spans="1:13" x14ac:dyDescent="0.3">
      <c r="A97">
        <v>24</v>
      </c>
      <c r="B97">
        <v>6</v>
      </c>
      <c r="C97" t="s">
        <v>12</v>
      </c>
      <c r="D97">
        <v>9</v>
      </c>
      <c r="E97">
        <v>9</v>
      </c>
      <c r="F97">
        <v>9</v>
      </c>
      <c r="G97">
        <v>0</v>
      </c>
      <c r="H97">
        <v>91</v>
      </c>
      <c r="I97">
        <v>73</v>
      </c>
      <c r="J97" t="s">
        <v>10</v>
      </c>
      <c r="K97" s="1">
        <f>Table1[[#This Row],[patients_admitted]]/Table1[[#This Row],[available_beds]]*100</f>
        <v>100</v>
      </c>
      <c r="L97" s="1">
        <f>Table1[[#This Row],[patients_refused]]/Table1[[#This Row],[patients_request]]*100</f>
        <v>0</v>
      </c>
      <c r="M97" s="1">
        <f>Table1[[#This Row],[patients_request]]/Table1[[#This Row],[available_beds]]</f>
        <v>1</v>
      </c>
    </row>
    <row r="98" spans="1:13" x14ac:dyDescent="0.3">
      <c r="A98">
        <v>25</v>
      </c>
      <c r="B98">
        <v>7</v>
      </c>
      <c r="C98" t="s">
        <v>16</v>
      </c>
      <c r="D98">
        <v>15</v>
      </c>
      <c r="E98">
        <v>48</v>
      </c>
      <c r="F98">
        <v>15</v>
      </c>
      <c r="G98">
        <v>33</v>
      </c>
      <c r="H98">
        <v>72</v>
      </c>
      <c r="I98">
        <v>72</v>
      </c>
      <c r="J98" t="s">
        <v>10</v>
      </c>
      <c r="K98" s="1">
        <f>Table1[[#This Row],[patients_admitted]]/Table1[[#This Row],[available_beds]]*100</f>
        <v>100</v>
      </c>
      <c r="L98" s="1">
        <f>Table1[[#This Row],[patients_refused]]/Table1[[#This Row],[patients_request]]*100</f>
        <v>68.75</v>
      </c>
      <c r="M98" s="1">
        <f>Table1[[#This Row],[patients_request]]/Table1[[#This Row],[available_beds]]</f>
        <v>3.2</v>
      </c>
    </row>
    <row r="99" spans="1:13" x14ac:dyDescent="0.3">
      <c r="A99">
        <v>25</v>
      </c>
      <c r="B99">
        <v>7</v>
      </c>
      <c r="C99" t="s">
        <v>17</v>
      </c>
      <c r="D99">
        <v>22</v>
      </c>
      <c r="E99">
        <v>39</v>
      </c>
      <c r="F99">
        <v>22</v>
      </c>
      <c r="G99">
        <v>17</v>
      </c>
      <c r="H99">
        <v>76</v>
      </c>
      <c r="I99">
        <v>98</v>
      </c>
      <c r="J99" t="s">
        <v>10</v>
      </c>
      <c r="K99" s="1">
        <f>Table1[[#This Row],[patients_admitted]]/Table1[[#This Row],[available_beds]]*100</f>
        <v>100</v>
      </c>
      <c r="L99" s="1">
        <f>Table1[[#This Row],[patients_refused]]/Table1[[#This Row],[patients_request]]*100</f>
        <v>43.589743589743591</v>
      </c>
      <c r="M99" s="1">
        <f>Table1[[#This Row],[patients_request]]/Table1[[#This Row],[available_beds]]</f>
        <v>1.7727272727272727</v>
      </c>
    </row>
    <row r="100" spans="1:13" x14ac:dyDescent="0.3">
      <c r="A100">
        <v>25</v>
      </c>
      <c r="B100">
        <v>7</v>
      </c>
      <c r="C100" t="s">
        <v>15</v>
      </c>
      <c r="D100">
        <v>36</v>
      </c>
      <c r="E100">
        <v>51</v>
      </c>
      <c r="F100">
        <v>36</v>
      </c>
      <c r="G100">
        <v>15</v>
      </c>
      <c r="H100">
        <v>81</v>
      </c>
      <c r="I100">
        <v>62</v>
      </c>
      <c r="J100" t="s">
        <v>10</v>
      </c>
      <c r="K100" s="1">
        <f>Table1[[#This Row],[patients_admitted]]/Table1[[#This Row],[available_beds]]*100</f>
        <v>100</v>
      </c>
      <c r="L100" s="1">
        <f>Table1[[#This Row],[patients_refused]]/Table1[[#This Row],[patients_request]]*100</f>
        <v>29.411764705882355</v>
      </c>
      <c r="M100" s="1">
        <f>Table1[[#This Row],[patients_request]]/Table1[[#This Row],[available_beds]]</f>
        <v>1.4166666666666667</v>
      </c>
    </row>
    <row r="101" spans="1:13" x14ac:dyDescent="0.3">
      <c r="A101">
        <v>25</v>
      </c>
      <c r="B101">
        <v>7</v>
      </c>
      <c r="C101" t="s">
        <v>12</v>
      </c>
      <c r="D101">
        <v>8</v>
      </c>
      <c r="E101">
        <v>6</v>
      </c>
      <c r="F101">
        <v>6</v>
      </c>
      <c r="G101">
        <v>0</v>
      </c>
      <c r="H101">
        <v>71</v>
      </c>
      <c r="I101">
        <v>90</v>
      </c>
      <c r="J101" t="s">
        <v>10</v>
      </c>
      <c r="K101" s="1">
        <f>Table1[[#This Row],[patients_admitted]]/Table1[[#This Row],[available_beds]]*100</f>
        <v>75</v>
      </c>
      <c r="L101" s="1">
        <f>Table1[[#This Row],[patients_refused]]/Table1[[#This Row],[patients_request]]*100</f>
        <v>0</v>
      </c>
      <c r="M101" s="1">
        <f>Table1[[#This Row],[patients_request]]/Table1[[#This Row],[available_beds]]</f>
        <v>0.75</v>
      </c>
    </row>
    <row r="102" spans="1:13" x14ac:dyDescent="0.3">
      <c r="A102">
        <v>26</v>
      </c>
      <c r="B102">
        <v>7</v>
      </c>
      <c r="C102" t="s">
        <v>16</v>
      </c>
      <c r="D102">
        <v>18</v>
      </c>
      <c r="E102">
        <v>96</v>
      </c>
      <c r="F102">
        <v>18</v>
      </c>
      <c r="G102">
        <v>78</v>
      </c>
      <c r="H102">
        <v>87</v>
      </c>
      <c r="I102">
        <v>63</v>
      </c>
      <c r="J102" t="s">
        <v>10</v>
      </c>
      <c r="K102" s="1">
        <f>Table1[[#This Row],[patients_admitted]]/Table1[[#This Row],[available_beds]]*100</f>
        <v>100</v>
      </c>
      <c r="L102" s="1">
        <f>Table1[[#This Row],[patients_refused]]/Table1[[#This Row],[patients_request]]*100</f>
        <v>81.25</v>
      </c>
      <c r="M102" s="1">
        <f>Table1[[#This Row],[patients_request]]/Table1[[#This Row],[available_beds]]</f>
        <v>5.333333333333333</v>
      </c>
    </row>
    <row r="103" spans="1:13" x14ac:dyDescent="0.3">
      <c r="A103">
        <v>26</v>
      </c>
      <c r="B103">
        <v>7</v>
      </c>
      <c r="C103" t="s">
        <v>17</v>
      </c>
      <c r="D103">
        <v>31</v>
      </c>
      <c r="E103">
        <v>30</v>
      </c>
      <c r="F103">
        <v>30</v>
      </c>
      <c r="G103">
        <v>0</v>
      </c>
      <c r="H103">
        <v>75</v>
      </c>
      <c r="I103">
        <v>54</v>
      </c>
      <c r="J103" t="s">
        <v>10</v>
      </c>
      <c r="K103" s="1">
        <f>Table1[[#This Row],[patients_admitted]]/Table1[[#This Row],[available_beds]]*100</f>
        <v>96.774193548387103</v>
      </c>
      <c r="L103" s="1">
        <f>Table1[[#This Row],[patients_refused]]/Table1[[#This Row],[patients_request]]*100</f>
        <v>0</v>
      </c>
      <c r="M103" s="1">
        <f>Table1[[#This Row],[patients_request]]/Table1[[#This Row],[available_beds]]</f>
        <v>0.967741935483871</v>
      </c>
    </row>
    <row r="104" spans="1:13" x14ac:dyDescent="0.3">
      <c r="A104">
        <v>26</v>
      </c>
      <c r="B104">
        <v>7</v>
      </c>
      <c r="C104" t="s">
        <v>15</v>
      </c>
      <c r="D104">
        <v>43</v>
      </c>
      <c r="E104">
        <v>72</v>
      </c>
      <c r="F104">
        <v>43</v>
      </c>
      <c r="G104">
        <v>29</v>
      </c>
      <c r="H104">
        <v>80</v>
      </c>
      <c r="I104">
        <v>85</v>
      </c>
      <c r="J104" t="s">
        <v>10</v>
      </c>
      <c r="K104" s="1">
        <f>Table1[[#This Row],[patients_admitted]]/Table1[[#This Row],[available_beds]]*100</f>
        <v>100</v>
      </c>
      <c r="L104" s="1">
        <f>Table1[[#This Row],[patients_refused]]/Table1[[#This Row],[patients_request]]*100</f>
        <v>40.277777777777779</v>
      </c>
      <c r="M104" s="1">
        <f>Table1[[#This Row],[patients_request]]/Table1[[#This Row],[available_beds]]</f>
        <v>1.6744186046511629</v>
      </c>
    </row>
    <row r="105" spans="1:13" x14ac:dyDescent="0.3">
      <c r="A105">
        <v>26</v>
      </c>
      <c r="B105">
        <v>7</v>
      </c>
      <c r="C105" t="s">
        <v>12</v>
      </c>
      <c r="D105">
        <v>14</v>
      </c>
      <c r="E105">
        <v>8</v>
      </c>
      <c r="F105">
        <v>8</v>
      </c>
      <c r="G105">
        <v>0</v>
      </c>
      <c r="H105">
        <v>98</v>
      </c>
      <c r="I105">
        <v>63</v>
      </c>
      <c r="J105" t="s">
        <v>10</v>
      </c>
      <c r="K105" s="1">
        <f>Table1[[#This Row],[patients_admitted]]/Table1[[#This Row],[available_beds]]*100</f>
        <v>57.142857142857139</v>
      </c>
      <c r="L105" s="1">
        <f>Table1[[#This Row],[patients_refused]]/Table1[[#This Row],[patients_request]]*100</f>
        <v>0</v>
      </c>
      <c r="M105" s="1">
        <f>Table1[[#This Row],[patients_request]]/Table1[[#This Row],[available_beds]]</f>
        <v>0.5714285714285714</v>
      </c>
    </row>
    <row r="106" spans="1:13" x14ac:dyDescent="0.3">
      <c r="A106">
        <v>27</v>
      </c>
      <c r="B106">
        <v>7</v>
      </c>
      <c r="C106" t="s">
        <v>16</v>
      </c>
      <c r="D106">
        <v>15</v>
      </c>
      <c r="E106">
        <v>67</v>
      </c>
      <c r="F106">
        <v>15</v>
      </c>
      <c r="G106">
        <v>52</v>
      </c>
      <c r="H106">
        <v>82</v>
      </c>
      <c r="I106">
        <v>78</v>
      </c>
      <c r="J106" t="s">
        <v>10</v>
      </c>
      <c r="K106" s="1">
        <f>Table1[[#This Row],[patients_admitted]]/Table1[[#This Row],[available_beds]]*100</f>
        <v>100</v>
      </c>
      <c r="L106" s="1">
        <f>Table1[[#This Row],[patients_refused]]/Table1[[#This Row],[patients_request]]*100</f>
        <v>77.611940298507463</v>
      </c>
      <c r="M106" s="1">
        <f>Table1[[#This Row],[patients_request]]/Table1[[#This Row],[available_beds]]</f>
        <v>4.4666666666666668</v>
      </c>
    </row>
    <row r="107" spans="1:13" x14ac:dyDescent="0.3">
      <c r="A107">
        <v>27</v>
      </c>
      <c r="B107">
        <v>7</v>
      </c>
      <c r="C107" t="s">
        <v>17</v>
      </c>
      <c r="D107">
        <v>29</v>
      </c>
      <c r="E107">
        <v>24</v>
      </c>
      <c r="F107">
        <v>24</v>
      </c>
      <c r="G107">
        <v>0</v>
      </c>
      <c r="H107">
        <v>68</v>
      </c>
      <c r="I107">
        <v>59</v>
      </c>
      <c r="J107" t="s">
        <v>10</v>
      </c>
      <c r="K107" s="1">
        <f>Table1[[#This Row],[patients_admitted]]/Table1[[#This Row],[available_beds]]*100</f>
        <v>82.758620689655174</v>
      </c>
      <c r="L107" s="1">
        <f>Table1[[#This Row],[patients_refused]]/Table1[[#This Row],[patients_request]]*100</f>
        <v>0</v>
      </c>
      <c r="M107" s="1">
        <f>Table1[[#This Row],[patients_request]]/Table1[[#This Row],[available_beds]]</f>
        <v>0.82758620689655171</v>
      </c>
    </row>
    <row r="108" spans="1:13" x14ac:dyDescent="0.3">
      <c r="A108">
        <v>27</v>
      </c>
      <c r="B108">
        <v>7</v>
      </c>
      <c r="C108" t="s">
        <v>15</v>
      </c>
      <c r="D108">
        <v>36</v>
      </c>
      <c r="E108">
        <v>61</v>
      </c>
      <c r="F108">
        <v>36</v>
      </c>
      <c r="G108">
        <v>25</v>
      </c>
      <c r="H108">
        <v>66</v>
      </c>
      <c r="I108">
        <v>95</v>
      </c>
      <c r="J108" t="s">
        <v>10</v>
      </c>
      <c r="K108" s="1">
        <f>Table1[[#This Row],[patients_admitted]]/Table1[[#This Row],[available_beds]]*100</f>
        <v>100</v>
      </c>
      <c r="L108" s="1">
        <f>Table1[[#This Row],[patients_refused]]/Table1[[#This Row],[patients_request]]*100</f>
        <v>40.983606557377051</v>
      </c>
      <c r="M108" s="1">
        <f>Table1[[#This Row],[patients_request]]/Table1[[#This Row],[available_beds]]</f>
        <v>1.6944444444444444</v>
      </c>
    </row>
    <row r="109" spans="1:13" x14ac:dyDescent="0.3">
      <c r="A109">
        <v>27</v>
      </c>
      <c r="B109">
        <v>7</v>
      </c>
      <c r="C109" t="s">
        <v>12</v>
      </c>
      <c r="D109">
        <v>15</v>
      </c>
      <c r="E109">
        <v>10</v>
      </c>
      <c r="F109">
        <v>10</v>
      </c>
      <c r="G109">
        <v>0</v>
      </c>
      <c r="H109">
        <v>86</v>
      </c>
      <c r="I109">
        <v>51</v>
      </c>
      <c r="J109" t="s">
        <v>10</v>
      </c>
      <c r="K109" s="1">
        <f>Table1[[#This Row],[patients_admitted]]/Table1[[#This Row],[available_beds]]*100</f>
        <v>66.666666666666657</v>
      </c>
      <c r="L109" s="1">
        <f>Table1[[#This Row],[patients_refused]]/Table1[[#This Row],[patients_request]]*100</f>
        <v>0</v>
      </c>
      <c r="M109" s="1">
        <f>Table1[[#This Row],[patients_request]]/Table1[[#This Row],[available_beds]]</f>
        <v>0.66666666666666663</v>
      </c>
    </row>
    <row r="110" spans="1:13" x14ac:dyDescent="0.3">
      <c r="A110">
        <v>28</v>
      </c>
      <c r="B110">
        <v>7</v>
      </c>
      <c r="C110" t="s">
        <v>16</v>
      </c>
      <c r="D110">
        <v>15</v>
      </c>
      <c r="E110">
        <v>69</v>
      </c>
      <c r="F110">
        <v>15</v>
      </c>
      <c r="G110">
        <v>54</v>
      </c>
      <c r="H110">
        <v>78</v>
      </c>
      <c r="I110">
        <v>66</v>
      </c>
      <c r="J110" t="s">
        <v>13</v>
      </c>
      <c r="K110" s="1">
        <f>Table1[[#This Row],[patients_admitted]]/Table1[[#This Row],[available_beds]]*100</f>
        <v>100</v>
      </c>
      <c r="L110" s="1">
        <f>Table1[[#This Row],[patients_refused]]/Table1[[#This Row],[patients_request]]*100</f>
        <v>78.260869565217391</v>
      </c>
      <c r="M110" s="1">
        <f>Table1[[#This Row],[patients_request]]/Table1[[#This Row],[available_beds]]</f>
        <v>4.5999999999999996</v>
      </c>
    </row>
    <row r="111" spans="1:13" x14ac:dyDescent="0.3">
      <c r="A111">
        <v>28</v>
      </c>
      <c r="B111">
        <v>7</v>
      </c>
      <c r="C111" t="s">
        <v>17</v>
      </c>
      <c r="D111">
        <v>31</v>
      </c>
      <c r="E111">
        <v>28</v>
      </c>
      <c r="F111">
        <v>28</v>
      </c>
      <c r="G111">
        <v>0</v>
      </c>
      <c r="H111">
        <v>66</v>
      </c>
      <c r="I111">
        <v>74</v>
      </c>
      <c r="J111" t="s">
        <v>10</v>
      </c>
      <c r="K111" s="1">
        <f>Table1[[#This Row],[patients_admitted]]/Table1[[#This Row],[available_beds]]*100</f>
        <v>90.322580645161281</v>
      </c>
      <c r="L111" s="1">
        <f>Table1[[#This Row],[patients_refused]]/Table1[[#This Row],[patients_request]]*100</f>
        <v>0</v>
      </c>
      <c r="M111" s="1">
        <f>Table1[[#This Row],[patients_request]]/Table1[[#This Row],[available_beds]]</f>
        <v>0.90322580645161288</v>
      </c>
    </row>
    <row r="112" spans="1:13" x14ac:dyDescent="0.3">
      <c r="A112">
        <v>28</v>
      </c>
      <c r="B112">
        <v>7</v>
      </c>
      <c r="C112" t="s">
        <v>15</v>
      </c>
      <c r="D112">
        <v>26</v>
      </c>
      <c r="E112">
        <v>36</v>
      </c>
      <c r="F112">
        <v>26</v>
      </c>
      <c r="G112">
        <v>10</v>
      </c>
      <c r="H112">
        <v>90</v>
      </c>
      <c r="I112">
        <v>68</v>
      </c>
      <c r="J112" t="s">
        <v>10</v>
      </c>
      <c r="K112" s="1">
        <f>Table1[[#This Row],[patients_admitted]]/Table1[[#This Row],[available_beds]]*100</f>
        <v>100</v>
      </c>
      <c r="L112" s="1">
        <f>Table1[[#This Row],[patients_refused]]/Table1[[#This Row],[patients_request]]*100</f>
        <v>27.777777777777779</v>
      </c>
      <c r="M112" s="1">
        <f>Table1[[#This Row],[patients_request]]/Table1[[#This Row],[available_beds]]</f>
        <v>1.3846153846153846</v>
      </c>
    </row>
    <row r="113" spans="1:13" x14ac:dyDescent="0.3">
      <c r="A113">
        <v>28</v>
      </c>
      <c r="B113">
        <v>7</v>
      </c>
      <c r="C113" t="s">
        <v>12</v>
      </c>
      <c r="D113">
        <v>12</v>
      </c>
      <c r="E113">
        <v>8</v>
      </c>
      <c r="F113">
        <v>8</v>
      </c>
      <c r="G113">
        <v>0</v>
      </c>
      <c r="H113">
        <v>86</v>
      </c>
      <c r="I113">
        <v>59</v>
      </c>
      <c r="J113" t="s">
        <v>10</v>
      </c>
      <c r="K113" s="1">
        <f>Table1[[#This Row],[patients_admitted]]/Table1[[#This Row],[available_beds]]*100</f>
        <v>66.666666666666657</v>
      </c>
      <c r="L113" s="1">
        <f>Table1[[#This Row],[patients_refused]]/Table1[[#This Row],[patients_request]]*100</f>
        <v>0</v>
      </c>
      <c r="M113" s="1">
        <f>Table1[[#This Row],[patients_request]]/Table1[[#This Row],[available_beds]]</f>
        <v>0.66666666666666663</v>
      </c>
    </row>
    <row r="114" spans="1:13" x14ac:dyDescent="0.3">
      <c r="A114">
        <v>29</v>
      </c>
      <c r="B114">
        <v>8</v>
      </c>
      <c r="C114" t="s">
        <v>16</v>
      </c>
      <c r="D114">
        <v>16</v>
      </c>
      <c r="E114">
        <v>92</v>
      </c>
      <c r="F114">
        <v>16</v>
      </c>
      <c r="G114">
        <v>76</v>
      </c>
      <c r="H114">
        <v>72</v>
      </c>
      <c r="I114">
        <v>99</v>
      </c>
      <c r="J114" t="s">
        <v>10</v>
      </c>
      <c r="K114" s="1">
        <f>Table1[[#This Row],[patients_admitted]]/Table1[[#This Row],[available_beds]]*100</f>
        <v>100</v>
      </c>
      <c r="L114" s="1">
        <f>Table1[[#This Row],[patients_refused]]/Table1[[#This Row],[patients_request]]*100</f>
        <v>82.608695652173907</v>
      </c>
      <c r="M114" s="1">
        <f>Table1[[#This Row],[patients_request]]/Table1[[#This Row],[available_beds]]</f>
        <v>5.75</v>
      </c>
    </row>
    <row r="115" spans="1:13" x14ac:dyDescent="0.3">
      <c r="A115">
        <v>29</v>
      </c>
      <c r="B115">
        <v>8</v>
      </c>
      <c r="C115" t="s">
        <v>17</v>
      </c>
      <c r="D115">
        <v>36</v>
      </c>
      <c r="E115">
        <v>31</v>
      </c>
      <c r="F115">
        <v>31</v>
      </c>
      <c r="G115">
        <v>0</v>
      </c>
      <c r="H115">
        <v>87</v>
      </c>
      <c r="I115">
        <v>57</v>
      </c>
      <c r="J115" t="s">
        <v>10</v>
      </c>
      <c r="K115" s="1">
        <f>Table1[[#This Row],[patients_admitted]]/Table1[[#This Row],[available_beds]]*100</f>
        <v>86.111111111111114</v>
      </c>
      <c r="L115" s="1">
        <f>Table1[[#This Row],[patients_refused]]/Table1[[#This Row],[patients_request]]*100</f>
        <v>0</v>
      </c>
      <c r="M115" s="1">
        <f>Table1[[#This Row],[patients_request]]/Table1[[#This Row],[available_beds]]</f>
        <v>0.86111111111111116</v>
      </c>
    </row>
    <row r="116" spans="1:13" x14ac:dyDescent="0.3">
      <c r="A116">
        <v>29</v>
      </c>
      <c r="B116">
        <v>8</v>
      </c>
      <c r="C116" t="s">
        <v>15</v>
      </c>
      <c r="D116">
        <v>30</v>
      </c>
      <c r="E116">
        <v>62</v>
      </c>
      <c r="F116">
        <v>30</v>
      </c>
      <c r="G116">
        <v>32</v>
      </c>
      <c r="H116">
        <v>60</v>
      </c>
      <c r="I116">
        <v>52</v>
      </c>
      <c r="J116" t="s">
        <v>10</v>
      </c>
      <c r="K116" s="1">
        <f>Table1[[#This Row],[patients_admitted]]/Table1[[#This Row],[available_beds]]*100</f>
        <v>100</v>
      </c>
      <c r="L116" s="1">
        <f>Table1[[#This Row],[patients_refused]]/Table1[[#This Row],[patients_request]]*100</f>
        <v>51.612903225806448</v>
      </c>
      <c r="M116" s="1">
        <f>Table1[[#This Row],[patients_request]]/Table1[[#This Row],[available_beds]]</f>
        <v>2.0666666666666669</v>
      </c>
    </row>
    <row r="117" spans="1:13" x14ac:dyDescent="0.3">
      <c r="A117">
        <v>29</v>
      </c>
      <c r="B117">
        <v>8</v>
      </c>
      <c r="C117" t="s">
        <v>12</v>
      </c>
      <c r="D117">
        <v>14</v>
      </c>
      <c r="E117">
        <v>15</v>
      </c>
      <c r="F117">
        <v>14</v>
      </c>
      <c r="G117">
        <v>1</v>
      </c>
      <c r="H117">
        <v>84</v>
      </c>
      <c r="I117">
        <v>82</v>
      </c>
      <c r="J117" t="s">
        <v>10</v>
      </c>
      <c r="K117" s="1">
        <f>Table1[[#This Row],[patients_admitted]]/Table1[[#This Row],[available_beds]]*100</f>
        <v>100</v>
      </c>
      <c r="L117" s="1">
        <f>Table1[[#This Row],[patients_refused]]/Table1[[#This Row],[patients_request]]*100</f>
        <v>6.666666666666667</v>
      </c>
      <c r="M117" s="1">
        <f>Table1[[#This Row],[patients_request]]/Table1[[#This Row],[available_beds]]</f>
        <v>1.0714285714285714</v>
      </c>
    </row>
    <row r="118" spans="1:13" x14ac:dyDescent="0.3">
      <c r="A118">
        <v>30</v>
      </c>
      <c r="B118">
        <v>8</v>
      </c>
      <c r="C118" t="s">
        <v>16</v>
      </c>
      <c r="D118">
        <v>16</v>
      </c>
      <c r="E118">
        <v>85</v>
      </c>
      <c r="F118">
        <v>16</v>
      </c>
      <c r="G118">
        <v>69</v>
      </c>
      <c r="H118">
        <v>91</v>
      </c>
      <c r="I118">
        <v>94</v>
      </c>
      <c r="J118" t="s">
        <v>10</v>
      </c>
      <c r="K118" s="1">
        <f>Table1[[#This Row],[patients_admitted]]/Table1[[#This Row],[available_beds]]*100</f>
        <v>100</v>
      </c>
      <c r="L118" s="1">
        <f>Table1[[#This Row],[patients_refused]]/Table1[[#This Row],[patients_request]]*100</f>
        <v>81.17647058823529</v>
      </c>
      <c r="M118" s="1">
        <f>Table1[[#This Row],[patients_request]]/Table1[[#This Row],[available_beds]]</f>
        <v>5.3125</v>
      </c>
    </row>
    <row r="119" spans="1:13" x14ac:dyDescent="0.3">
      <c r="A119">
        <v>30</v>
      </c>
      <c r="B119">
        <v>8</v>
      </c>
      <c r="C119" t="s">
        <v>17</v>
      </c>
      <c r="D119">
        <v>32</v>
      </c>
      <c r="E119">
        <v>15</v>
      </c>
      <c r="F119">
        <v>15</v>
      </c>
      <c r="G119">
        <v>0</v>
      </c>
      <c r="H119">
        <v>70</v>
      </c>
      <c r="I119">
        <v>66</v>
      </c>
      <c r="J119" t="s">
        <v>14</v>
      </c>
      <c r="K119" s="1">
        <f>Table1[[#This Row],[patients_admitted]]/Table1[[#This Row],[available_beds]]*100</f>
        <v>46.875</v>
      </c>
      <c r="L119" s="1">
        <f>Table1[[#This Row],[patients_refused]]/Table1[[#This Row],[patients_request]]*100</f>
        <v>0</v>
      </c>
      <c r="M119" s="1">
        <f>Table1[[#This Row],[patients_request]]/Table1[[#This Row],[available_beds]]</f>
        <v>0.46875</v>
      </c>
    </row>
    <row r="120" spans="1:13" x14ac:dyDescent="0.3">
      <c r="A120">
        <v>30</v>
      </c>
      <c r="B120">
        <v>8</v>
      </c>
      <c r="C120" t="s">
        <v>15</v>
      </c>
      <c r="D120">
        <v>38</v>
      </c>
      <c r="E120">
        <v>47</v>
      </c>
      <c r="F120">
        <v>38</v>
      </c>
      <c r="G120">
        <v>9</v>
      </c>
      <c r="H120">
        <v>77</v>
      </c>
      <c r="I120">
        <v>96</v>
      </c>
      <c r="J120" t="s">
        <v>10</v>
      </c>
      <c r="K120" s="1">
        <f>Table1[[#This Row],[patients_admitted]]/Table1[[#This Row],[available_beds]]*100</f>
        <v>100</v>
      </c>
      <c r="L120" s="1">
        <f>Table1[[#This Row],[patients_refused]]/Table1[[#This Row],[patients_request]]*100</f>
        <v>19.148936170212767</v>
      </c>
      <c r="M120" s="1">
        <f>Table1[[#This Row],[patients_request]]/Table1[[#This Row],[available_beds]]</f>
        <v>1.236842105263158</v>
      </c>
    </row>
    <row r="121" spans="1:13" x14ac:dyDescent="0.3">
      <c r="A121">
        <v>30</v>
      </c>
      <c r="B121">
        <v>8</v>
      </c>
      <c r="C121" t="s">
        <v>12</v>
      </c>
      <c r="D121">
        <v>8</v>
      </c>
      <c r="E121">
        <v>7</v>
      </c>
      <c r="F121">
        <v>7</v>
      </c>
      <c r="G121">
        <v>0</v>
      </c>
      <c r="H121">
        <v>62</v>
      </c>
      <c r="I121">
        <v>65</v>
      </c>
      <c r="J121" t="s">
        <v>10</v>
      </c>
      <c r="K121" s="1">
        <f>Table1[[#This Row],[patients_admitted]]/Table1[[#This Row],[available_beds]]*100</f>
        <v>87.5</v>
      </c>
      <c r="L121" s="1">
        <f>Table1[[#This Row],[patients_refused]]/Table1[[#This Row],[patients_request]]*100</f>
        <v>0</v>
      </c>
      <c r="M121" s="1">
        <f>Table1[[#This Row],[patients_request]]/Table1[[#This Row],[available_beds]]</f>
        <v>0.875</v>
      </c>
    </row>
    <row r="122" spans="1:13" x14ac:dyDescent="0.3">
      <c r="A122">
        <v>31</v>
      </c>
      <c r="B122">
        <v>8</v>
      </c>
      <c r="C122" t="s">
        <v>16</v>
      </c>
      <c r="D122">
        <v>20</v>
      </c>
      <c r="E122">
        <v>48</v>
      </c>
      <c r="F122">
        <v>20</v>
      </c>
      <c r="G122">
        <v>28</v>
      </c>
      <c r="H122">
        <v>69</v>
      </c>
      <c r="I122">
        <v>81</v>
      </c>
      <c r="J122" t="s">
        <v>10</v>
      </c>
      <c r="K122" s="1">
        <f>Table1[[#This Row],[patients_admitted]]/Table1[[#This Row],[available_beds]]*100</f>
        <v>100</v>
      </c>
      <c r="L122" s="1">
        <f>Table1[[#This Row],[patients_refused]]/Table1[[#This Row],[patients_request]]*100</f>
        <v>58.333333333333336</v>
      </c>
      <c r="M122" s="1">
        <f>Table1[[#This Row],[patients_request]]/Table1[[#This Row],[available_beds]]</f>
        <v>2.4</v>
      </c>
    </row>
    <row r="123" spans="1:13" x14ac:dyDescent="0.3">
      <c r="A123">
        <v>31</v>
      </c>
      <c r="B123">
        <v>8</v>
      </c>
      <c r="C123" t="s">
        <v>17</v>
      </c>
      <c r="D123">
        <v>20</v>
      </c>
      <c r="E123">
        <v>24</v>
      </c>
      <c r="F123">
        <v>20</v>
      </c>
      <c r="G123">
        <v>4</v>
      </c>
      <c r="H123">
        <v>83</v>
      </c>
      <c r="I123">
        <v>86</v>
      </c>
      <c r="J123" t="s">
        <v>13</v>
      </c>
      <c r="K123" s="1">
        <f>Table1[[#This Row],[patients_admitted]]/Table1[[#This Row],[available_beds]]*100</f>
        <v>100</v>
      </c>
      <c r="L123" s="1">
        <f>Table1[[#This Row],[patients_refused]]/Table1[[#This Row],[patients_request]]*100</f>
        <v>16.666666666666664</v>
      </c>
      <c r="M123" s="1">
        <f>Table1[[#This Row],[patients_request]]/Table1[[#This Row],[available_beds]]</f>
        <v>1.2</v>
      </c>
    </row>
    <row r="124" spans="1:13" x14ac:dyDescent="0.3">
      <c r="A124">
        <v>31</v>
      </c>
      <c r="B124">
        <v>8</v>
      </c>
      <c r="C124" t="s">
        <v>15</v>
      </c>
      <c r="D124">
        <v>45</v>
      </c>
      <c r="E124">
        <v>60</v>
      </c>
      <c r="F124">
        <v>45</v>
      </c>
      <c r="G124">
        <v>15</v>
      </c>
      <c r="H124">
        <v>85</v>
      </c>
      <c r="I124">
        <v>57</v>
      </c>
      <c r="J124" t="s">
        <v>10</v>
      </c>
      <c r="K124" s="1">
        <f>Table1[[#This Row],[patients_admitted]]/Table1[[#This Row],[available_beds]]*100</f>
        <v>100</v>
      </c>
      <c r="L124" s="1">
        <f>Table1[[#This Row],[patients_refused]]/Table1[[#This Row],[patients_request]]*100</f>
        <v>25</v>
      </c>
      <c r="M124" s="1">
        <f>Table1[[#This Row],[patients_request]]/Table1[[#This Row],[available_beds]]</f>
        <v>1.3333333333333333</v>
      </c>
    </row>
    <row r="125" spans="1:13" x14ac:dyDescent="0.3">
      <c r="A125">
        <v>31</v>
      </c>
      <c r="B125">
        <v>8</v>
      </c>
      <c r="C125" t="s">
        <v>12</v>
      </c>
      <c r="D125">
        <v>8</v>
      </c>
      <c r="E125">
        <v>12</v>
      </c>
      <c r="F125">
        <v>8</v>
      </c>
      <c r="G125">
        <v>4</v>
      </c>
      <c r="H125">
        <v>87</v>
      </c>
      <c r="I125">
        <v>86</v>
      </c>
      <c r="J125" t="s">
        <v>10</v>
      </c>
      <c r="K125" s="1">
        <f>Table1[[#This Row],[patients_admitted]]/Table1[[#This Row],[available_beds]]*100</f>
        <v>100</v>
      </c>
      <c r="L125" s="1">
        <f>Table1[[#This Row],[patients_refused]]/Table1[[#This Row],[patients_request]]*100</f>
        <v>33.333333333333329</v>
      </c>
      <c r="M125" s="1">
        <f>Table1[[#This Row],[patients_request]]/Table1[[#This Row],[available_beds]]</f>
        <v>1.5</v>
      </c>
    </row>
    <row r="126" spans="1:13" x14ac:dyDescent="0.3">
      <c r="A126">
        <v>32</v>
      </c>
      <c r="B126">
        <v>8</v>
      </c>
      <c r="C126" t="s">
        <v>16</v>
      </c>
      <c r="D126">
        <v>20</v>
      </c>
      <c r="E126">
        <v>89</v>
      </c>
      <c r="F126">
        <v>20</v>
      </c>
      <c r="G126">
        <v>69</v>
      </c>
      <c r="H126">
        <v>76</v>
      </c>
      <c r="I126">
        <v>58</v>
      </c>
      <c r="J126" t="s">
        <v>10</v>
      </c>
      <c r="K126" s="1">
        <f>Table1[[#This Row],[patients_admitted]]/Table1[[#This Row],[available_beds]]*100</f>
        <v>100</v>
      </c>
      <c r="L126" s="1">
        <f>Table1[[#This Row],[patients_refused]]/Table1[[#This Row],[patients_request]]*100</f>
        <v>77.528089887640448</v>
      </c>
      <c r="M126" s="1">
        <f>Table1[[#This Row],[patients_request]]/Table1[[#This Row],[available_beds]]</f>
        <v>4.45</v>
      </c>
    </row>
    <row r="127" spans="1:13" x14ac:dyDescent="0.3">
      <c r="A127">
        <v>32</v>
      </c>
      <c r="B127">
        <v>8</v>
      </c>
      <c r="C127" t="s">
        <v>17</v>
      </c>
      <c r="D127">
        <v>31</v>
      </c>
      <c r="E127">
        <v>25</v>
      </c>
      <c r="F127">
        <v>25</v>
      </c>
      <c r="G127">
        <v>0</v>
      </c>
      <c r="H127">
        <v>87</v>
      </c>
      <c r="I127">
        <v>97</v>
      </c>
      <c r="J127" t="s">
        <v>10</v>
      </c>
      <c r="K127" s="1">
        <f>Table1[[#This Row],[patients_admitted]]/Table1[[#This Row],[available_beds]]*100</f>
        <v>80.645161290322577</v>
      </c>
      <c r="L127" s="1">
        <f>Table1[[#This Row],[patients_refused]]/Table1[[#This Row],[patients_request]]*100</f>
        <v>0</v>
      </c>
      <c r="M127" s="1">
        <f>Table1[[#This Row],[patients_request]]/Table1[[#This Row],[available_beds]]</f>
        <v>0.80645161290322576</v>
      </c>
    </row>
    <row r="128" spans="1:13" x14ac:dyDescent="0.3">
      <c r="A128">
        <v>32</v>
      </c>
      <c r="B128">
        <v>8</v>
      </c>
      <c r="C128" t="s">
        <v>15</v>
      </c>
      <c r="D128">
        <v>34</v>
      </c>
      <c r="E128">
        <v>59</v>
      </c>
      <c r="F128">
        <v>34</v>
      </c>
      <c r="G128">
        <v>25</v>
      </c>
      <c r="H128">
        <v>65</v>
      </c>
      <c r="I128">
        <v>67</v>
      </c>
      <c r="J128" t="s">
        <v>10</v>
      </c>
      <c r="K128" s="1">
        <f>Table1[[#This Row],[patients_admitted]]/Table1[[#This Row],[available_beds]]*100</f>
        <v>100</v>
      </c>
      <c r="L128" s="1">
        <f>Table1[[#This Row],[patients_refused]]/Table1[[#This Row],[patients_request]]*100</f>
        <v>42.372881355932201</v>
      </c>
      <c r="M128" s="1">
        <f>Table1[[#This Row],[patients_request]]/Table1[[#This Row],[available_beds]]</f>
        <v>1.7352941176470589</v>
      </c>
    </row>
    <row r="129" spans="1:13" x14ac:dyDescent="0.3">
      <c r="A129">
        <v>32</v>
      </c>
      <c r="B129">
        <v>8</v>
      </c>
      <c r="C129" t="s">
        <v>12</v>
      </c>
      <c r="D129">
        <v>11</v>
      </c>
      <c r="E129">
        <v>15</v>
      </c>
      <c r="F129">
        <v>11</v>
      </c>
      <c r="G129">
        <v>4</v>
      </c>
      <c r="H129">
        <v>84</v>
      </c>
      <c r="I129">
        <v>51</v>
      </c>
      <c r="J129" t="s">
        <v>10</v>
      </c>
      <c r="K129" s="1">
        <f>Table1[[#This Row],[patients_admitted]]/Table1[[#This Row],[available_beds]]*100</f>
        <v>100</v>
      </c>
      <c r="L129" s="1">
        <f>Table1[[#This Row],[patients_refused]]/Table1[[#This Row],[patients_request]]*100</f>
        <v>26.666666666666668</v>
      </c>
      <c r="M129" s="1">
        <f>Table1[[#This Row],[patients_request]]/Table1[[#This Row],[available_beds]]</f>
        <v>1.3636363636363635</v>
      </c>
    </row>
    <row r="130" spans="1:13" x14ac:dyDescent="0.3">
      <c r="A130">
        <v>33</v>
      </c>
      <c r="B130">
        <v>9</v>
      </c>
      <c r="C130" t="s">
        <v>16</v>
      </c>
      <c r="D130">
        <v>28</v>
      </c>
      <c r="E130">
        <v>54</v>
      </c>
      <c r="F130">
        <v>28</v>
      </c>
      <c r="G130">
        <v>26</v>
      </c>
      <c r="H130">
        <v>92</v>
      </c>
      <c r="I130">
        <v>56</v>
      </c>
      <c r="J130" t="s">
        <v>13</v>
      </c>
      <c r="K130" s="1">
        <f>Table1[[#This Row],[patients_admitted]]/Table1[[#This Row],[available_beds]]*100</f>
        <v>100</v>
      </c>
      <c r="L130" s="1">
        <f>Table1[[#This Row],[patients_refused]]/Table1[[#This Row],[patients_request]]*100</f>
        <v>48.148148148148145</v>
      </c>
      <c r="M130" s="1">
        <f>Table1[[#This Row],[patients_request]]/Table1[[#This Row],[available_beds]]</f>
        <v>1.9285714285714286</v>
      </c>
    </row>
    <row r="131" spans="1:13" x14ac:dyDescent="0.3">
      <c r="A131">
        <v>33</v>
      </c>
      <c r="B131">
        <v>9</v>
      </c>
      <c r="C131" t="s">
        <v>17</v>
      </c>
      <c r="D131">
        <v>36</v>
      </c>
      <c r="E131">
        <v>30</v>
      </c>
      <c r="F131">
        <v>30</v>
      </c>
      <c r="G131">
        <v>0</v>
      </c>
      <c r="H131">
        <v>80</v>
      </c>
      <c r="I131">
        <v>75</v>
      </c>
      <c r="J131" t="s">
        <v>10</v>
      </c>
      <c r="K131" s="1">
        <f>Table1[[#This Row],[patients_admitted]]/Table1[[#This Row],[available_beds]]*100</f>
        <v>83.333333333333343</v>
      </c>
      <c r="L131" s="1">
        <f>Table1[[#This Row],[patients_refused]]/Table1[[#This Row],[patients_request]]*100</f>
        <v>0</v>
      </c>
      <c r="M131" s="1">
        <f>Table1[[#This Row],[patients_request]]/Table1[[#This Row],[available_beds]]</f>
        <v>0.83333333333333337</v>
      </c>
    </row>
    <row r="132" spans="1:13" x14ac:dyDescent="0.3">
      <c r="A132">
        <v>33</v>
      </c>
      <c r="B132">
        <v>9</v>
      </c>
      <c r="C132" t="s">
        <v>15</v>
      </c>
      <c r="D132">
        <v>51</v>
      </c>
      <c r="E132">
        <v>98</v>
      </c>
      <c r="F132">
        <v>51</v>
      </c>
      <c r="G132">
        <v>47</v>
      </c>
      <c r="H132">
        <v>86</v>
      </c>
      <c r="I132">
        <v>98</v>
      </c>
      <c r="J132" t="s">
        <v>10</v>
      </c>
      <c r="K132" s="1">
        <f>Table1[[#This Row],[patients_admitted]]/Table1[[#This Row],[available_beds]]*100</f>
        <v>100</v>
      </c>
      <c r="L132" s="1">
        <f>Table1[[#This Row],[patients_refused]]/Table1[[#This Row],[patients_request]]*100</f>
        <v>47.959183673469383</v>
      </c>
      <c r="M132" s="1">
        <f>Table1[[#This Row],[patients_request]]/Table1[[#This Row],[available_beds]]</f>
        <v>1.9215686274509804</v>
      </c>
    </row>
    <row r="133" spans="1:13" x14ac:dyDescent="0.3">
      <c r="A133">
        <v>33</v>
      </c>
      <c r="B133">
        <v>9</v>
      </c>
      <c r="C133" t="s">
        <v>12</v>
      </c>
      <c r="D133">
        <v>11</v>
      </c>
      <c r="E133">
        <v>13</v>
      </c>
      <c r="F133">
        <v>11</v>
      </c>
      <c r="G133">
        <v>2</v>
      </c>
      <c r="H133">
        <v>94</v>
      </c>
      <c r="I133">
        <v>50</v>
      </c>
      <c r="J133" t="s">
        <v>10</v>
      </c>
      <c r="K133" s="1">
        <f>Table1[[#This Row],[patients_admitted]]/Table1[[#This Row],[available_beds]]*100</f>
        <v>100</v>
      </c>
      <c r="L133" s="1">
        <f>Table1[[#This Row],[patients_refused]]/Table1[[#This Row],[patients_request]]*100</f>
        <v>15.384615384615385</v>
      </c>
      <c r="M133" s="1">
        <f>Table1[[#This Row],[patients_request]]/Table1[[#This Row],[available_beds]]</f>
        <v>1.1818181818181819</v>
      </c>
    </row>
    <row r="134" spans="1:13" x14ac:dyDescent="0.3">
      <c r="A134">
        <v>34</v>
      </c>
      <c r="B134">
        <v>9</v>
      </c>
      <c r="C134" t="s">
        <v>16</v>
      </c>
      <c r="D134">
        <v>21</v>
      </c>
      <c r="E134">
        <v>31</v>
      </c>
      <c r="F134">
        <v>21</v>
      </c>
      <c r="G134">
        <v>10</v>
      </c>
      <c r="H134">
        <v>64</v>
      </c>
      <c r="I134">
        <v>60</v>
      </c>
      <c r="J134" t="s">
        <v>14</v>
      </c>
      <c r="K134" s="1">
        <f>Table1[[#This Row],[patients_admitted]]/Table1[[#This Row],[available_beds]]*100</f>
        <v>100</v>
      </c>
      <c r="L134" s="1">
        <f>Table1[[#This Row],[patients_refused]]/Table1[[#This Row],[patients_request]]*100</f>
        <v>32.258064516129032</v>
      </c>
      <c r="M134" s="1">
        <f>Table1[[#This Row],[patients_request]]/Table1[[#This Row],[available_beds]]</f>
        <v>1.4761904761904763</v>
      </c>
    </row>
    <row r="135" spans="1:13" x14ac:dyDescent="0.3">
      <c r="A135">
        <v>34</v>
      </c>
      <c r="B135">
        <v>9</v>
      </c>
      <c r="C135" t="s">
        <v>17</v>
      </c>
      <c r="D135">
        <v>22</v>
      </c>
      <c r="E135">
        <v>42</v>
      </c>
      <c r="F135">
        <v>22</v>
      </c>
      <c r="G135">
        <v>20</v>
      </c>
      <c r="H135">
        <v>96</v>
      </c>
      <c r="I135">
        <v>86</v>
      </c>
      <c r="J135" t="s">
        <v>10</v>
      </c>
      <c r="K135" s="1">
        <f>Table1[[#This Row],[patients_admitted]]/Table1[[#This Row],[available_beds]]*100</f>
        <v>100</v>
      </c>
      <c r="L135" s="1">
        <f>Table1[[#This Row],[patients_refused]]/Table1[[#This Row],[patients_request]]*100</f>
        <v>47.619047619047613</v>
      </c>
      <c r="M135" s="1">
        <f>Table1[[#This Row],[patients_request]]/Table1[[#This Row],[available_beds]]</f>
        <v>1.9090909090909092</v>
      </c>
    </row>
    <row r="136" spans="1:13" x14ac:dyDescent="0.3">
      <c r="A136">
        <v>34</v>
      </c>
      <c r="B136">
        <v>9</v>
      </c>
      <c r="C136" t="s">
        <v>15</v>
      </c>
      <c r="D136">
        <v>48</v>
      </c>
      <c r="E136">
        <v>56</v>
      </c>
      <c r="F136">
        <v>48</v>
      </c>
      <c r="G136">
        <v>8</v>
      </c>
      <c r="H136">
        <v>80</v>
      </c>
      <c r="I136">
        <v>63</v>
      </c>
      <c r="J136" t="s">
        <v>10</v>
      </c>
      <c r="K136" s="1">
        <f>Table1[[#This Row],[patients_admitted]]/Table1[[#This Row],[available_beds]]*100</f>
        <v>100</v>
      </c>
      <c r="L136" s="1">
        <f>Table1[[#This Row],[patients_refused]]/Table1[[#This Row],[patients_request]]*100</f>
        <v>14.285714285714285</v>
      </c>
      <c r="M136" s="1">
        <f>Table1[[#This Row],[patients_request]]/Table1[[#This Row],[available_beds]]</f>
        <v>1.1666666666666667</v>
      </c>
    </row>
    <row r="137" spans="1:13" x14ac:dyDescent="0.3">
      <c r="A137">
        <v>34</v>
      </c>
      <c r="B137">
        <v>9</v>
      </c>
      <c r="C137" t="s">
        <v>12</v>
      </c>
      <c r="D137">
        <v>10</v>
      </c>
      <c r="E137">
        <v>7</v>
      </c>
      <c r="F137">
        <v>7</v>
      </c>
      <c r="G137">
        <v>0</v>
      </c>
      <c r="H137">
        <v>72</v>
      </c>
      <c r="I137">
        <v>53</v>
      </c>
      <c r="J137" t="s">
        <v>10</v>
      </c>
      <c r="K137" s="1">
        <f>Table1[[#This Row],[patients_admitted]]/Table1[[#This Row],[available_beds]]*100</f>
        <v>70</v>
      </c>
      <c r="L137" s="1">
        <f>Table1[[#This Row],[patients_refused]]/Table1[[#This Row],[patients_request]]*100</f>
        <v>0</v>
      </c>
      <c r="M137" s="1">
        <f>Table1[[#This Row],[patients_request]]/Table1[[#This Row],[available_beds]]</f>
        <v>0.7</v>
      </c>
    </row>
    <row r="138" spans="1:13" x14ac:dyDescent="0.3">
      <c r="A138">
        <v>35</v>
      </c>
      <c r="B138">
        <v>9</v>
      </c>
      <c r="C138" t="s">
        <v>16</v>
      </c>
      <c r="D138">
        <v>15</v>
      </c>
      <c r="E138">
        <v>81</v>
      </c>
      <c r="F138">
        <v>15</v>
      </c>
      <c r="G138">
        <v>66</v>
      </c>
      <c r="H138">
        <v>93</v>
      </c>
      <c r="I138">
        <v>77</v>
      </c>
      <c r="J138" t="s">
        <v>10</v>
      </c>
      <c r="K138" s="1">
        <f>Table1[[#This Row],[patients_admitted]]/Table1[[#This Row],[available_beds]]*100</f>
        <v>100</v>
      </c>
      <c r="L138" s="1">
        <f>Table1[[#This Row],[patients_refused]]/Table1[[#This Row],[patients_request]]*100</f>
        <v>81.481481481481481</v>
      </c>
      <c r="M138" s="1">
        <f>Table1[[#This Row],[patients_request]]/Table1[[#This Row],[available_beds]]</f>
        <v>5.4</v>
      </c>
    </row>
    <row r="139" spans="1:13" x14ac:dyDescent="0.3">
      <c r="A139">
        <v>35</v>
      </c>
      <c r="B139">
        <v>9</v>
      </c>
      <c r="C139" t="s">
        <v>17</v>
      </c>
      <c r="D139">
        <v>26</v>
      </c>
      <c r="E139">
        <v>45</v>
      </c>
      <c r="F139">
        <v>26</v>
      </c>
      <c r="G139">
        <v>19</v>
      </c>
      <c r="H139">
        <v>93</v>
      </c>
      <c r="I139">
        <v>52</v>
      </c>
      <c r="J139" t="s">
        <v>10</v>
      </c>
      <c r="K139" s="1">
        <f>Table1[[#This Row],[patients_admitted]]/Table1[[#This Row],[available_beds]]*100</f>
        <v>100</v>
      </c>
      <c r="L139" s="1">
        <f>Table1[[#This Row],[patients_refused]]/Table1[[#This Row],[patients_request]]*100</f>
        <v>42.222222222222221</v>
      </c>
      <c r="M139" s="1">
        <f>Table1[[#This Row],[patients_request]]/Table1[[#This Row],[available_beds]]</f>
        <v>1.7307692307692308</v>
      </c>
    </row>
    <row r="140" spans="1:13" x14ac:dyDescent="0.3">
      <c r="A140">
        <v>35</v>
      </c>
      <c r="B140">
        <v>9</v>
      </c>
      <c r="C140" t="s">
        <v>15</v>
      </c>
      <c r="D140">
        <v>41</v>
      </c>
      <c r="E140">
        <v>40</v>
      </c>
      <c r="F140">
        <v>40</v>
      </c>
      <c r="G140">
        <v>0</v>
      </c>
      <c r="H140">
        <v>64</v>
      </c>
      <c r="I140">
        <v>79</v>
      </c>
      <c r="J140" t="s">
        <v>10</v>
      </c>
      <c r="K140" s="1">
        <f>Table1[[#This Row],[patients_admitted]]/Table1[[#This Row],[available_beds]]*100</f>
        <v>97.560975609756099</v>
      </c>
      <c r="L140" s="1">
        <f>Table1[[#This Row],[patients_refused]]/Table1[[#This Row],[patients_request]]*100</f>
        <v>0</v>
      </c>
      <c r="M140" s="1">
        <f>Table1[[#This Row],[patients_request]]/Table1[[#This Row],[available_beds]]</f>
        <v>0.97560975609756095</v>
      </c>
    </row>
    <row r="141" spans="1:13" x14ac:dyDescent="0.3">
      <c r="A141">
        <v>35</v>
      </c>
      <c r="B141">
        <v>9</v>
      </c>
      <c r="C141" t="s">
        <v>12</v>
      </c>
      <c r="D141">
        <v>18</v>
      </c>
      <c r="E141">
        <v>5</v>
      </c>
      <c r="F141">
        <v>5</v>
      </c>
      <c r="G141">
        <v>0</v>
      </c>
      <c r="H141">
        <v>82</v>
      </c>
      <c r="I141">
        <v>64</v>
      </c>
      <c r="J141" t="s">
        <v>10</v>
      </c>
      <c r="K141" s="1">
        <f>Table1[[#This Row],[patients_admitted]]/Table1[[#This Row],[available_beds]]*100</f>
        <v>27.777777777777779</v>
      </c>
      <c r="L141" s="1">
        <f>Table1[[#This Row],[patients_refused]]/Table1[[#This Row],[patients_request]]*100</f>
        <v>0</v>
      </c>
      <c r="M141" s="1">
        <f>Table1[[#This Row],[patients_request]]/Table1[[#This Row],[available_beds]]</f>
        <v>0.27777777777777779</v>
      </c>
    </row>
    <row r="142" spans="1:13" x14ac:dyDescent="0.3">
      <c r="A142">
        <v>36</v>
      </c>
      <c r="B142">
        <v>9</v>
      </c>
      <c r="C142" t="s">
        <v>16</v>
      </c>
      <c r="D142">
        <v>28</v>
      </c>
      <c r="E142">
        <v>115</v>
      </c>
      <c r="F142">
        <v>28</v>
      </c>
      <c r="G142">
        <v>87</v>
      </c>
      <c r="H142">
        <v>70</v>
      </c>
      <c r="I142">
        <v>88</v>
      </c>
      <c r="J142" t="s">
        <v>10</v>
      </c>
      <c r="K142" s="1">
        <f>Table1[[#This Row],[patients_admitted]]/Table1[[#This Row],[available_beds]]*100</f>
        <v>100</v>
      </c>
      <c r="L142" s="1">
        <f>Table1[[#This Row],[patients_refused]]/Table1[[#This Row],[patients_request]]*100</f>
        <v>75.65217391304347</v>
      </c>
      <c r="M142" s="1">
        <f>Table1[[#This Row],[patients_request]]/Table1[[#This Row],[available_beds]]</f>
        <v>4.1071428571428568</v>
      </c>
    </row>
    <row r="143" spans="1:13" x14ac:dyDescent="0.3">
      <c r="A143">
        <v>36</v>
      </c>
      <c r="B143">
        <v>9</v>
      </c>
      <c r="C143" t="s">
        <v>17</v>
      </c>
      <c r="D143">
        <v>47</v>
      </c>
      <c r="E143">
        <v>53</v>
      </c>
      <c r="F143">
        <v>47</v>
      </c>
      <c r="G143">
        <v>6</v>
      </c>
      <c r="H143">
        <v>97</v>
      </c>
      <c r="I143">
        <v>99</v>
      </c>
      <c r="J143" t="s">
        <v>10</v>
      </c>
      <c r="K143" s="1">
        <f>Table1[[#This Row],[patients_admitted]]/Table1[[#This Row],[available_beds]]*100</f>
        <v>100</v>
      </c>
      <c r="L143" s="1">
        <f>Table1[[#This Row],[patients_refused]]/Table1[[#This Row],[patients_request]]*100</f>
        <v>11.320754716981133</v>
      </c>
      <c r="M143" s="1">
        <f>Table1[[#This Row],[patients_request]]/Table1[[#This Row],[available_beds]]</f>
        <v>1.1276595744680851</v>
      </c>
    </row>
    <row r="144" spans="1:13" x14ac:dyDescent="0.3">
      <c r="A144">
        <v>36</v>
      </c>
      <c r="B144">
        <v>9</v>
      </c>
      <c r="C144" t="s">
        <v>15</v>
      </c>
      <c r="D144">
        <v>59</v>
      </c>
      <c r="E144">
        <v>54</v>
      </c>
      <c r="F144">
        <v>54</v>
      </c>
      <c r="G144">
        <v>0</v>
      </c>
      <c r="H144">
        <v>86</v>
      </c>
      <c r="I144">
        <v>83</v>
      </c>
      <c r="J144" t="s">
        <v>10</v>
      </c>
      <c r="K144" s="1">
        <f>Table1[[#This Row],[patients_admitted]]/Table1[[#This Row],[available_beds]]*100</f>
        <v>91.525423728813564</v>
      </c>
      <c r="L144" s="1">
        <f>Table1[[#This Row],[patients_refused]]/Table1[[#This Row],[patients_request]]*100</f>
        <v>0</v>
      </c>
      <c r="M144" s="1">
        <f>Table1[[#This Row],[patients_request]]/Table1[[#This Row],[available_beds]]</f>
        <v>0.9152542372881356</v>
      </c>
    </row>
    <row r="145" spans="1:13" x14ac:dyDescent="0.3">
      <c r="A145">
        <v>36</v>
      </c>
      <c r="B145">
        <v>9</v>
      </c>
      <c r="C145" t="s">
        <v>12</v>
      </c>
      <c r="D145">
        <v>15</v>
      </c>
      <c r="E145">
        <v>5</v>
      </c>
      <c r="F145">
        <v>5</v>
      </c>
      <c r="G145">
        <v>0</v>
      </c>
      <c r="H145">
        <v>83</v>
      </c>
      <c r="I145">
        <v>64</v>
      </c>
      <c r="J145" t="s">
        <v>10</v>
      </c>
      <c r="K145" s="1">
        <f>Table1[[#This Row],[patients_admitted]]/Table1[[#This Row],[available_beds]]*100</f>
        <v>33.333333333333329</v>
      </c>
      <c r="L145" s="1">
        <f>Table1[[#This Row],[patients_refused]]/Table1[[#This Row],[patients_request]]*100</f>
        <v>0</v>
      </c>
      <c r="M145" s="1">
        <f>Table1[[#This Row],[patients_request]]/Table1[[#This Row],[available_beds]]</f>
        <v>0.33333333333333331</v>
      </c>
    </row>
    <row r="146" spans="1:13" x14ac:dyDescent="0.3">
      <c r="A146">
        <v>37</v>
      </c>
      <c r="B146">
        <v>10</v>
      </c>
      <c r="C146" t="s">
        <v>16</v>
      </c>
      <c r="D146">
        <v>23</v>
      </c>
      <c r="E146">
        <v>110</v>
      </c>
      <c r="F146">
        <v>23</v>
      </c>
      <c r="G146">
        <v>87</v>
      </c>
      <c r="H146">
        <v>76</v>
      </c>
      <c r="I146">
        <v>54</v>
      </c>
      <c r="J146" t="s">
        <v>10</v>
      </c>
      <c r="K146" s="1">
        <f>Table1[[#This Row],[patients_admitted]]/Table1[[#This Row],[available_beds]]*100</f>
        <v>100</v>
      </c>
      <c r="L146" s="1">
        <f>Table1[[#This Row],[patients_refused]]/Table1[[#This Row],[patients_request]]*100</f>
        <v>79.090909090909093</v>
      </c>
      <c r="M146" s="1">
        <f>Table1[[#This Row],[patients_request]]/Table1[[#This Row],[available_beds]]</f>
        <v>4.7826086956521738</v>
      </c>
    </row>
    <row r="147" spans="1:13" x14ac:dyDescent="0.3">
      <c r="A147">
        <v>37</v>
      </c>
      <c r="B147">
        <v>10</v>
      </c>
      <c r="C147" t="s">
        <v>17</v>
      </c>
      <c r="D147">
        <v>31</v>
      </c>
      <c r="E147">
        <v>39</v>
      </c>
      <c r="F147">
        <v>31</v>
      </c>
      <c r="G147">
        <v>8</v>
      </c>
      <c r="H147">
        <v>69</v>
      </c>
      <c r="I147">
        <v>66</v>
      </c>
      <c r="J147" t="s">
        <v>10</v>
      </c>
      <c r="K147" s="1">
        <f>Table1[[#This Row],[patients_admitted]]/Table1[[#This Row],[available_beds]]*100</f>
        <v>100</v>
      </c>
      <c r="L147" s="1">
        <f>Table1[[#This Row],[patients_refused]]/Table1[[#This Row],[patients_request]]*100</f>
        <v>20.512820512820511</v>
      </c>
      <c r="M147" s="1">
        <f>Table1[[#This Row],[patients_request]]/Table1[[#This Row],[available_beds]]</f>
        <v>1.2580645161290323</v>
      </c>
    </row>
    <row r="148" spans="1:13" x14ac:dyDescent="0.3">
      <c r="A148">
        <v>37</v>
      </c>
      <c r="B148">
        <v>10</v>
      </c>
      <c r="C148" t="s">
        <v>15</v>
      </c>
      <c r="D148">
        <v>58</v>
      </c>
      <c r="E148">
        <v>48</v>
      </c>
      <c r="F148">
        <v>48</v>
      </c>
      <c r="G148">
        <v>0</v>
      </c>
      <c r="H148">
        <v>93</v>
      </c>
      <c r="I148">
        <v>55</v>
      </c>
      <c r="J148" t="s">
        <v>10</v>
      </c>
      <c r="K148" s="1">
        <f>Table1[[#This Row],[patients_admitted]]/Table1[[#This Row],[available_beds]]*100</f>
        <v>82.758620689655174</v>
      </c>
      <c r="L148" s="1">
        <f>Table1[[#This Row],[patients_refused]]/Table1[[#This Row],[patients_request]]*100</f>
        <v>0</v>
      </c>
      <c r="M148" s="1">
        <f>Table1[[#This Row],[patients_request]]/Table1[[#This Row],[available_beds]]</f>
        <v>0.82758620689655171</v>
      </c>
    </row>
    <row r="149" spans="1:13" x14ac:dyDescent="0.3">
      <c r="A149">
        <v>37</v>
      </c>
      <c r="B149">
        <v>10</v>
      </c>
      <c r="C149" t="s">
        <v>12</v>
      </c>
      <c r="D149">
        <v>13</v>
      </c>
      <c r="E149">
        <v>20</v>
      </c>
      <c r="F149">
        <v>13</v>
      </c>
      <c r="G149">
        <v>7</v>
      </c>
      <c r="H149">
        <v>82</v>
      </c>
      <c r="I149">
        <v>65</v>
      </c>
      <c r="J149" t="s">
        <v>10</v>
      </c>
      <c r="K149" s="1">
        <f>Table1[[#This Row],[patients_admitted]]/Table1[[#This Row],[available_beds]]*100</f>
        <v>100</v>
      </c>
      <c r="L149" s="1">
        <f>Table1[[#This Row],[patients_refused]]/Table1[[#This Row],[patients_request]]*100</f>
        <v>35</v>
      </c>
      <c r="M149" s="1">
        <f>Table1[[#This Row],[patients_request]]/Table1[[#This Row],[available_beds]]</f>
        <v>1.5384615384615385</v>
      </c>
    </row>
    <row r="150" spans="1:13" x14ac:dyDescent="0.3">
      <c r="A150">
        <v>38</v>
      </c>
      <c r="B150">
        <v>10</v>
      </c>
      <c r="C150" t="s">
        <v>16</v>
      </c>
      <c r="D150">
        <v>22</v>
      </c>
      <c r="E150">
        <v>71</v>
      </c>
      <c r="F150">
        <v>22</v>
      </c>
      <c r="G150">
        <v>49</v>
      </c>
      <c r="H150">
        <v>67</v>
      </c>
      <c r="I150">
        <v>53</v>
      </c>
      <c r="J150" t="s">
        <v>10</v>
      </c>
      <c r="K150" s="1">
        <f>Table1[[#This Row],[patients_admitted]]/Table1[[#This Row],[available_beds]]*100</f>
        <v>100</v>
      </c>
      <c r="L150" s="1">
        <f>Table1[[#This Row],[patients_refused]]/Table1[[#This Row],[patients_request]]*100</f>
        <v>69.014084507042256</v>
      </c>
      <c r="M150" s="1">
        <f>Table1[[#This Row],[patients_request]]/Table1[[#This Row],[available_beds]]</f>
        <v>3.2272727272727271</v>
      </c>
    </row>
    <row r="151" spans="1:13" x14ac:dyDescent="0.3">
      <c r="A151">
        <v>38</v>
      </c>
      <c r="B151">
        <v>10</v>
      </c>
      <c r="C151" t="s">
        <v>17</v>
      </c>
      <c r="D151">
        <v>47</v>
      </c>
      <c r="E151">
        <v>48</v>
      </c>
      <c r="F151">
        <v>47</v>
      </c>
      <c r="G151">
        <v>1</v>
      </c>
      <c r="H151">
        <v>62</v>
      </c>
      <c r="I151">
        <v>81</v>
      </c>
      <c r="J151" t="s">
        <v>10</v>
      </c>
      <c r="K151" s="1">
        <f>Table1[[#This Row],[patients_admitted]]/Table1[[#This Row],[available_beds]]*100</f>
        <v>100</v>
      </c>
      <c r="L151" s="1">
        <f>Table1[[#This Row],[patients_refused]]/Table1[[#This Row],[patients_request]]*100</f>
        <v>2.083333333333333</v>
      </c>
      <c r="M151" s="1">
        <f>Table1[[#This Row],[patients_request]]/Table1[[#This Row],[available_beds]]</f>
        <v>1.0212765957446808</v>
      </c>
    </row>
    <row r="152" spans="1:13" x14ac:dyDescent="0.3">
      <c r="A152">
        <v>38</v>
      </c>
      <c r="B152">
        <v>10</v>
      </c>
      <c r="C152" t="s">
        <v>15</v>
      </c>
      <c r="D152">
        <v>63</v>
      </c>
      <c r="E152">
        <v>78</v>
      </c>
      <c r="F152">
        <v>63</v>
      </c>
      <c r="G152">
        <v>15</v>
      </c>
      <c r="H152">
        <v>78</v>
      </c>
      <c r="I152">
        <v>70</v>
      </c>
      <c r="J152" t="s">
        <v>10</v>
      </c>
      <c r="K152" s="1">
        <f>Table1[[#This Row],[patients_admitted]]/Table1[[#This Row],[available_beds]]*100</f>
        <v>100</v>
      </c>
      <c r="L152" s="1">
        <f>Table1[[#This Row],[patients_refused]]/Table1[[#This Row],[patients_request]]*100</f>
        <v>19.230769230769234</v>
      </c>
      <c r="M152" s="1">
        <f>Table1[[#This Row],[patients_request]]/Table1[[#This Row],[available_beds]]</f>
        <v>1.2380952380952381</v>
      </c>
    </row>
    <row r="153" spans="1:13" x14ac:dyDescent="0.3">
      <c r="A153">
        <v>38</v>
      </c>
      <c r="B153">
        <v>10</v>
      </c>
      <c r="C153" t="s">
        <v>12</v>
      </c>
      <c r="D153">
        <v>20</v>
      </c>
      <c r="E153">
        <v>18</v>
      </c>
      <c r="F153">
        <v>18</v>
      </c>
      <c r="G153">
        <v>0</v>
      </c>
      <c r="H153">
        <v>81</v>
      </c>
      <c r="I153">
        <v>70</v>
      </c>
      <c r="J153" t="s">
        <v>10</v>
      </c>
      <c r="K153" s="1">
        <f>Table1[[#This Row],[patients_admitted]]/Table1[[#This Row],[available_beds]]*100</f>
        <v>90</v>
      </c>
      <c r="L153" s="1">
        <f>Table1[[#This Row],[patients_refused]]/Table1[[#This Row],[patients_request]]*100</f>
        <v>0</v>
      </c>
      <c r="M153" s="1">
        <f>Table1[[#This Row],[patients_request]]/Table1[[#This Row],[available_beds]]</f>
        <v>0.9</v>
      </c>
    </row>
    <row r="154" spans="1:13" x14ac:dyDescent="0.3">
      <c r="A154">
        <v>39</v>
      </c>
      <c r="B154">
        <v>10</v>
      </c>
      <c r="C154" t="s">
        <v>16</v>
      </c>
      <c r="D154">
        <v>20</v>
      </c>
      <c r="E154">
        <v>67</v>
      </c>
      <c r="F154">
        <v>20</v>
      </c>
      <c r="G154">
        <v>47</v>
      </c>
      <c r="H154">
        <v>85</v>
      </c>
      <c r="I154">
        <v>95</v>
      </c>
      <c r="J154" t="s">
        <v>10</v>
      </c>
      <c r="K154" s="1">
        <f>Table1[[#This Row],[patients_admitted]]/Table1[[#This Row],[available_beds]]*100</f>
        <v>100</v>
      </c>
      <c r="L154" s="1">
        <f>Table1[[#This Row],[patients_refused]]/Table1[[#This Row],[patients_request]]*100</f>
        <v>70.149253731343293</v>
      </c>
      <c r="M154" s="1">
        <f>Table1[[#This Row],[patients_request]]/Table1[[#This Row],[available_beds]]</f>
        <v>3.35</v>
      </c>
    </row>
    <row r="155" spans="1:13" x14ac:dyDescent="0.3">
      <c r="A155">
        <v>39</v>
      </c>
      <c r="B155">
        <v>10</v>
      </c>
      <c r="C155" t="s">
        <v>17</v>
      </c>
      <c r="D155">
        <v>36</v>
      </c>
      <c r="E155">
        <v>49</v>
      </c>
      <c r="F155">
        <v>36</v>
      </c>
      <c r="G155">
        <v>13</v>
      </c>
      <c r="H155">
        <v>86</v>
      </c>
      <c r="I155">
        <v>58</v>
      </c>
      <c r="J155" t="s">
        <v>10</v>
      </c>
      <c r="K155" s="1">
        <f>Table1[[#This Row],[patients_admitted]]/Table1[[#This Row],[available_beds]]*100</f>
        <v>100</v>
      </c>
      <c r="L155" s="1">
        <f>Table1[[#This Row],[patients_refused]]/Table1[[#This Row],[patients_request]]*100</f>
        <v>26.530612244897959</v>
      </c>
      <c r="M155" s="1">
        <f>Table1[[#This Row],[patients_request]]/Table1[[#This Row],[available_beds]]</f>
        <v>1.3611111111111112</v>
      </c>
    </row>
    <row r="156" spans="1:13" x14ac:dyDescent="0.3">
      <c r="A156">
        <v>39</v>
      </c>
      <c r="B156">
        <v>10</v>
      </c>
      <c r="C156" t="s">
        <v>15</v>
      </c>
      <c r="D156">
        <v>48</v>
      </c>
      <c r="E156">
        <v>59</v>
      </c>
      <c r="F156">
        <v>48</v>
      </c>
      <c r="G156">
        <v>11</v>
      </c>
      <c r="H156">
        <v>89</v>
      </c>
      <c r="I156">
        <v>72</v>
      </c>
      <c r="J156" t="s">
        <v>14</v>
      </c>
      <c r="K156" s="1">
        <f>Table1[[#This Row],[patients_admitted]]/Table1[[#This Row],[available_beds]]*100</f>
        <v>100</v>
      </c>
      <c r="L156" s="1">
        <f>Table1[[#This Row],[patients_refused]]/Table1[[#This Row],[patients_request]]*100</f>
        <v>18.64406779661017</v>
      </c>
      <c r="M156" s="1">
        <f>Table1[[#This Row],[patients_request]]/Table1[[#This Row],[available_beds]]</f>
        <v>1.2291666666666667</v>
      </c>
    </row>
    <row r="157" spans="1:13" x14ac:dyDescent="0.3">
      <c r="A157">
        <v>39</v>
      </c>
      <c r="B157">
        <v>10</v>
      </c>
      <c r="C157" t="s">
        <v>12</v>
      </c>
      <c r="D157">
        <v>11</v>
      </c>
      <c r="E157">
        <v>15</v>
      </c>
      <c r="F157">
        <v>11</v>
      </c>
      <c r="G157">
        <v>4</v>
      </c>
      <c r="H157">
        <v>95</v>
      </c>
      <c r="I157">
        <v>50</v>
      </c>
      <c r="J157" t="s">
        <v>10</v>
      </c>
      <c r="K157" s="1">
        <f>Table1[[#This Row],[patients_admitted]]/Table1[[#This Row],[available_beds]]*100</f>
        <v>100</v>
      </c>
      <c r="L157" s="1">
        <f>Table1[[#This Row],[patients_refused]]/Table1[[#This Row],[patients_request]]*100</f>
        <v>26.666666666666668</v>
      </c>
      <c r="M157" s="1">
        <f>Table1[[#This Row],[patients_request]]/Table1[[#This Row],[available_beds]]</f>
        <v>1.3636363636363635</v>
      </c>
    </row>
    <row r="158" spans="1:13" x14ac:dyDescent="0.3">
      <c r="A158">
        <v>40</v>
      </c>
      <c r="B158">
        <v>10</v>
      </c>
      <c r="C158" t="s">
        <v>16</v>
      </c>
      <c r="D158">
        <v>18</v>
      </c>
      <c r="E158">
        <v>57</v>
      </c>
      <c r="F158">
        <v>18</v>
      </c>
      <c r="G158">
        <v>39</v>
      </c>
      <c r="H158">
        <v>81</v>
      </c>
      <c r="I158">
        <v>43</v>
      </c>
      <c r="J158" t="s">
        <v>14</v>
      </c>
      <c r="K158" s="1">
        <f>Table1[[#This Row],[patients_admitted]]/Table1[[#This Row],[available_beds]]*100</f>
        <v>100</v>
      </c>
      <c r="L158" s="1">
        <f>Table1[[#This Row],[patients_refused]]/Table1[[#This Row],[patients_request]]*100</f>
        <v>68.421052631578945</v>
      </c>
      <c r="M158" s="1">
        <f>Table1[[#This Row],[patients_request]]/Table1[[#This Row],[available_beds]]</f>
        <v>3.1666666666666665</v>
      </c>
    </row>
    <row r="159" spans="1:13" x14ac:dyDescent="0.3">
      <c r="A159">
        <v>40</v>
      </c>
      <c r="B159">
        <v>10</v>
      </c>
      <c r="C159" t="s">
        <v>17</v>
      </c>
      <c r="D159">
        <v>46</v>
      </c>
      <c r="E159">
        <v>36</v>
      </c>
      <c r="F159">
        <v>36</v>
      </c>
      <c r="G159">
        <v>0</v>
      </c>
      <c r="H159">
        <v>83</v>
      </c>
      <c r="I159">
        <v>51</v>
      </c>
      <c r="J159" t="s">
        <v>10</v>
      </c>
      <c r="K159" s="1">
        <f>Table1[[#This Row],[patients_admitted]]/Table1[[#This Row],[available_beds]]*100</f>
        <v>78.260869565217391</v>
      </c>
      <c r="L159" s="1">
        <f>Table1[[#This Row],[patients_refused]]/Table1[[#This Row],[patients_request]]*100</f>
        <v>0</v>
      </c>
      <c r="M159" s="1">
        <f>Table1[[#This Row],[patients_request]]/Table1[[#This Row],[available_beds]]</f>
        <v>0.78260869565217395</v>
      </c>
    </row>
    <row r="160" spans="1:13" x14ac:dyDescent="0.3">
      <c r="A160">
        <v>40</v>
      </c>
      <c r="B160">
        <v>10</v>
      </c>
      <c r="C160" t="s">
        <v>15</v>
      </c>
      <c r="D160">
        <v>47</v>
      </c>
      <c r="E160">
        <v>107</v>
      </c>
      <c r="F160">
        <v>47</v>
      </c>
      <c r="G160">
        <v>60</v>
      </c>
      <c r="H160">
        <v>66</v>
      </c>
      <c r="I160">
        <v>52</v>
      </c>
      <c r="J160" t="s">
        <v>10</v>
      </c>
      <c r="K160" s="1">
        <f>Table1[[#This Row],[patients_admitted]]/Table1[[#This Row],[available_beds]]*100</f>
        <v>100</v>
      </c>
      <c r="L160" s="1">
        <f>Table1[[#This Row],[patients_refused]]/Table1[[#This Row],[patients_request]]*100</f>
        <v>56.074766355140184</v>
      </c>
      <c r="M160" s="1">
        <f>Table1[[#This Row],[patients_request]]/Table1[[#This Row],[available_beds]]</f>
        <v>2.2765957446808511</v>
      </c>
    </row>
    <row r="161" spans="1:13" x14ac:dyDescent="0.3">
      <c r="A161">
        <v>40</v>
      </c>
      <c r="B161">
        <v>10</v>
      </c>
      <c r="C161" t="s">
        <v>12</v>
      </c>
      <c r="D161">
        <v>12</v>
      </c>
      <c r="E161">
        <v>15</v>
      </c>
      <c r="F161">
        <v>12</v>
      </c>
      <c r="G161">
        <v>3</v>
      </c>
      <c r="H161">
        <v>97</v>
      </c>
      <c r="I161">
        <v>84</v>
      </c>
      <c r="J161" t="s">
        <v>10</v>
      </c>
      <c r="K161" s="1">
        <f>Table1[[#This Row],[patients_admitted]]/Table1[[#This Row],[available_beds]]*100</f>
        <v>100</v>
      </c>
      <c r="L161" s="1">
        <f>Table1[[#This Row],[patients_refused]]/Table1[[#This Row],[patients_request]]*100</f>
        <v>20</v>
      </c>
      <c r="M161" s="1">
        <f>Table1[[#This Row],[patients_request]]/Table1[[#This Row],[available_beds]]</f>
        <v>1.25</v>
      </c>
    </row>
    <row r="162" spans="1:13" x14ac:dyDescent="0.3">
      <c r="A162">
        <v>41</v>
      </c>
      <c r="B162">
        <v>11</v>
      </c>
      <c r="C162" t="s">
        <v>16</v>
      </c>
      <c r="D162">
        <v>27</v>
      </c>
      <c r="E162">
        <v>92</v>
      </c>
      <c r="F162">
        <v>27</v>
      </c>
      <c r="G162">
        <v>65</v>
      </c>
      <c r="H162">
        <v>69</v>
      </c>
      <c r="I162">
        <v>88</v>
      </c>
      <c r="J162" t="s">
        <v>10</v>
      </c>
      <c r="K162" s="1">
        <f>Table1[[#This Row],[patients_admitted]]/Table1[[#This Row],[available_beds]]*100</f>
        <v>100</v>
      </c>
      <c r="L162" s="1">
        <f>Table1[[#This Row],[patients_refused]]/Table1[[#This Row],[patients_request]]*100</f>
        <v>70.652173913043484</v>
      </c>
      <c r="M162" s="1">
        <f>Table1[[#This Row],[patients_request]]/Table1[[#This Row],[available_beds]]</f>
        <v>3.4074074074074074</v>
      </c>
    </row>
    <row r="163" spans="1:13" x14ac:dyDescent="0.3">
      <c r="A163">
        <v>41</v>
      </c>
      <c r="B163">
        <v>11</v>
      </c>
      <c r="C163" t="s">
        <v>17</v>
      </c>
      <c r="D163">
        <v>31</v>
      </c>
      <c r="E163">
        <v>49</v>
      </c>
      <c r="F163">
        <v>31</v>
      </c>
      <c r="G163">
        <v>18</v>
      </c>
      <c r="H163">
        <v>85</v>
      </c>
      <c r="I163">
        <v>93</v>
      </c>
      <c r="J163" t="s">
        <v>10</v>
      </c>
      <c r="K163" s="1">
        <f>Table1[[#This Row],[patients_admitted]]/Table1[[#This Row],[available_beds]]*100</f>
        <v>100</v>
      </c>
      <c r="L163" s="1">
        <f>Table1[[#This Row],[patients_refused]]/Table1[[#This Row],[patients_request]]*100</f>
        <v>36.734693877551024</v>
      </c>
      <c r="M163" s="1">
        <f>Table1[[#This Row],[patients_request]]/Table1[[#This Row],[available_beds]]</f>
        <v>1.5806451612903225</v>
      </c>
    </row>
    <row r="164" spans="1:13" x14ac:dyDescent="0.3">
      <c r="A164">
        <v>41</v>
      </c>
      <c r="B164">
        <v>11</v>
      </c>
      <c r="C164" t="s">
        <v>15</v>
      </c>
      <c r="D164">
        <v>50</v>
      </c>
      <c r="E164">
        <v>70</v>
      </c>
      <c r="F164">
        <v>50</v>
      </c>
      <c r="G164">
        <v>20</v>
      </c>
      <c r="H164">
        <v>84</v>
      </c>
      <c r="I164">
        <v>53</v>
      </c>
      <c r="J164" t="s">
        <v>10</v>
      </c>
      <c r="K164" s="1">
        <f>Table1[[#This Row],[patients_admitted]]/Table1[[#This Row],[available_beds]]*100</f>
        <v>100</v>
      </c>
      <c r="L164" s="1">
        <f>Table1[[#This Row],[patients_refused]]/Table1[[#This Row],[patients_request]]*100</f>
        <v>28.571428571428569</v>
      </c>
      <c r="M164" s="1">
        <f>Table1[[#This Row],[patients_request]]/Table1[[#This Row],[available_beds]]</f>
        <v>1.4</v>
      </c>
    </row>
    <row r="165" spans="1:13" x14ac:dyDescent="0.3">
      <c r="A165">
        <v>41</v>
      </c>
      <c r="B165">
        <v>11</v>
      </c>
      <c r="C165" t="s">
        <v>12</v>
      </c>
      <c r="D165">
        <v>21</v>
      </c>
      <c r="E165">
        <v>20</v>
      </c>
      <c r="F165">
        <v>20</v>
      </c>
      <c r="G165">
        <v>0</v>
      </c>
      <c r="H165">
        <v>77</v>
      </c>
      <c r="I165">
        <v>96</v>
      </c>
      <c r="J165" t="s">
        <v>10</v>
      </c>
      <c r="K165" s="1">
        <f>Table1[[#This Row],[patients_admitted]]/Table1[[#This Row],[available_beds]]*100</f>
        <v>95.238095238095227</v>
      </c>
      <c r="L165" s="1">
        <f>Table1[[#This Row],[patients_refused]]/Table1[[#This Row],[patients_request]]*100</f>
        <v>0</v>
      </c>
      <c r="M165" s="1">
        <f>Table1[[#This Row],[patients_request]]/Table1[[#This Row],[available_beds]]</f>
        <v>0.95238095238095233</v>
      </c>
    </row>
    <row r="166" spans="1:13" x14ac:dyDescent="0.3">
      <c r="A166">
        <v>42</v>
      </c>
      <c r="B166">
        <v>11</v>
      </c>
      <c r="C166" t="s">
        <v>16</v>
      </c>
      <c r="D166">
        <v>24</v>
      </c>
      <c r="E166">
        <v>99</v>
      </c>
      <c r="F166">
        <v>24</v>
      </c>
      <c r="G166">
        <v>75</v>
      </c>
      <c r="H166">
        <v>67</v>
      </c>
      <c r="I166">
        <v>89</v>
      </c>
      <c r="J166" t="s">
        <v>10</v>
      </c>
      <c r="K166" s="1">
        <f>Table1[[#This Row],[patients_admitted]]/Table1[[#This Row],[available_beds]]*100</f>
        <v>100</v>
      </c>
      <c r="L166" s="1">
        <f>Table1[[#This Row],[patients_refused]]/Table1[[#This Row],[patients_request]]*100</f>
        <v>75.757575757575751</v>
      </c>
      <c r="M166" s="1">
        <f>Table1[[#This Row],[patients_request]]/Table1[[#This Row],[available_beds]]</f>
        <v>4.125</v>
      </c>
    </row>
    <row r="167" spans="1:13" x14ac:dyDescent="0.3">
      <c r="A167">
        <v>42</v>
      </c>
      <c r="B167">
        <v>11</v>
      </c>
      <c r="C167" t="s">
        <v>17</v>
      </c>
      <c r="D167">
        <v>45</v>
      </c>
      <c r="E167">
        <v>67</v>
      </c>
      <c r="F167">
        <v>45</v>
      </c>
      <c r="G167">
        <v>22</v>
      </c>
      <c r="H167">
        <v>65</v>
      </c>
      <c r="I167">
        <v>75</v>
      </c>
      <c r="J167" t="s">
        <v>10</v>
      </c>
      <c r="K167" s="1">
        <f>Table1[[#This Row],[patients_admitted]]/Table1[[#This Row],[available_beds]]*100</f>
        <v>100</v>
      </c>
      <c r="L167" s="1">
        <f>Table1[[#This Row],[patients_refused]]/Table1[[#This Row],[patients_request]]*100</f>
        <v>32.835820895522389</v>
      </c>
      <c r="M167" s="1">
        <f>Table1[[#This Row],[patients_request]]/Table1[[#This Row],[available_beds]]</f>
        <v>1.4888888888888889</v>
      </c>
    </row>
    <row r="168" spans="1:13" x14ac:dyDescent="0.3">
      <c r="A168">
        <v>42</v>
      </c>
      <c r="B168">
        <v>11</v>
      </c>
      <c r="C168" t="s">
        <v>15</v>
      </c>
      <c r="D168">
        <v>67</v>
      </c>
      <c r="E168">
        <v>114</v>
      </c>
      <c r="F168">
        <v>67</v>
      </c>
      <c r="G168">
        <v>47</v>
      </c>
      <c r="H168">
        <v>65</v>
      </c>
      <c r="I168">
        <v>86</v>
      </c>
      <c r="J168" t="s">
        <v>10</v>
      </c>
      <c r="K168" s="1">
        <f>Table1[[#This Row],[patients_admitted]]/Table1[[#This Row],[available_beds]]*100</f>
        <v>100</v>
      </c>
      <c r="L168" s="1">
        <f>Table1[[#This Row],[patients_refused]]/Table1[[#This Row],[patients_request]]*100</f>
        <v>41.228070175438596</v>
      </c>
      <c r="M168" s="1">
        <f>Table1[[#This Row],[patients_request]]/Table1[[#This Row],[available_beds]]</f>
        <v>1.7014925373134329</v>
      </c>
    </row>
    <row r="169" spans="1:13" x14ac:dyDescent="0.3">
      <c r="A169">
        <v>42</v>
      </c>
      <c r="B169">
        <v>11</v>
      </c>
      <c r="C169" t="s">
        <v>12</v>
      </c>
      <c r="D169">
        <v>16</v>
      </c>
      <c r="E169">
        <v>12</v>
      </c>
      <c r="F169">
        <v>12</v>
      </c>
      <c r="G169">
        <v>0</v>
      </c>
      <c r="H169">
        <v>80</v>
      </c>
      <c r="I169">
        <v>55</v>
      </c>
      <c r="J169" t="s">
        <v>10</v>
      </c>
      <c r="K169" s="1">
        <f>Table1[[#This Row],[patients_admitted]]/Table1[[#This Row],[available_beds]]*100</f>
        <v>75</v>
      </c>
      <c r="L169" s="1">
        <f>Table1[[#This Row],[patients_refused]]/Table1[[#This Row],[patients_request]]*100</f>
        <v>0</v>
      </c>
      <c r="M169" s="1">
        <f>Table1[[#This Row],[patients_request]]/Table1[[#This Row],[available_beds]]</f>
        <v>0.75</v>
      </c>
    </row>
    <row r="170" spans="1:13" x14ac:dyDescent="0.3">
      <c r="A170">
        <v>43</v>
      </c>
      <c r="B170">
        <v>11</v>
      </c>
      <c r="C170" t="s">
        <v>16</v>
      </c>
      <c r="D170">
        <v>21</v>
      </c>
      <c r="E170">
        <v>171</v>
      </c>
      <c r="F170">
        <v>21</v>
      </c>
      <c r="G170">
        <v>150</v>
      </c>
      <c r="H170">
        <v>70</v>
      </c>
      <c r="I170">
        <v>79</v>
      </c>
      <c r="J170" t="s">
        <v>10</v>
      </c>
      <c r="K170" s="1">
        <f>Table1[[#This Row],[patients_admitted]]/Table1[[#This Row],[available_beds]]*100</f>
        <v>100</v>
      </c>
      <c r="L170" s="1">
        <f>Table1[[#This Row],[patients_refused]]/Table1[[#This Row],[patients_request]]*100</f>
        <v>87.719298245614027</v>
      </c>
      <c r="M170" s="1">
        <f>Table1[[#This Row],[patients_request]]/Table1[[#This Row],[available_beds]]</f>
        <v>8.1428571428571423</v>
      </c>
    </row>
    <row r="171" spans="1:13" x14ac:dyDescent="0.3">
      <c r="A171">
        <v>43</v>
      </c>
      <c r="B171">
        <v>11</v>
      </c>
      <c r="C171" t="s">
        <v>17</v>
      </c>
      <c r="D171">
        <v>50</v>
      </c>
      <c r="E171">
        <v>33</v>
      </c>
      <c r="F171">
        <v>33</v>
      </c>
      <c r="G171">
        <v>0</v>
      </c>
      <c r="H171">
        <v>62</v>
      </c>
      <c r="I171">
        <v>89</v>
      </c>
      <c r="J171" t="s">
        <v>13</v>
      </c>
      <c r="K171" s="1">
        <f>Table1[[#This Row],[patients_admitted]]/Table1[[#This Row],[available_beds]]*100</f>
        <v>66</v>
      </c>
      <c r="L171" s="1">
        <f>Table1[[#This Row],[patients_refused]]/Table1[[#This Row],[patients_request]]*100</f>
        <v>0</v>
      </c>
      <c r="M171" s="1">
        <f>Table1[[#This Row],[patients_request]]/Table1[[#This Row],[available_beds]]</f>
        <v>0.66</v>
      </c>
    </row>
    <row r="172" spans="1:13" x14ac:dyDescent="0.3">
      <c r="A172">
        <v>43</v>
      </c>
      <c r="B172">
        <v>11</v>
      </c>
      <c r="C172" t="s">
        <v>15</v>
      </c>
      <c r="D172">
        <v>42</v>
      </c>
      <c r="E172">
        <v>49</v>
      </c>
      <c r="F172">
        <v>42</v>
      </c>
      <c r="G172">
        <v>7</v>
      </c>
      <c r="H172">
        <v>79</v>
      </c>
      <c r="I172">
        <v>77</v>
      </c>
      <c r="J172" t="s">
        <v>10</v>
      </c>
      <c r="K172" s="1">
        <f>Table1[[#This Row],[patients_admitted]]/Table1[[#This Row],[available_beds]]*100</f>
        <v>100</v>
      </c>
      <c r="L172" s="1">
        <f>Table1[[#This Row],[patients_refused]]/Table1[[#This Row],[patients_request]]*100</f>
        <v>14.285714285714285</v>
      </c>
      <c r="M172" s="1">
        <f>Table1[[#This Row],[patients_request]]/Table1[[#This Row],[available_beds]]</f>
        <v>1.1666666666666667</v>
      </c>
    </row>
    <row r="173" spans="1:13" x14ac:dyDescent="0.3">
      <c r="A173">
        <v>43</v>
      </c>
      <c r="B173">
        <v>11</v>
      </c>
      <c r="C173" t="s">
        <v>12</v>
      </c>
      <c r="D173">
        <v>18</v>
      </c>
      <c r="E173">
        <v>12</v>
      </c>
      <c r="F173">
        <v>12</v>
      </c>
      <c r="G173">
        <v>0</v>
      </c>
      <c r="H173">
        <v>89</v>
      </c>
      <c r="I173">
        <v>87</v>
      </c>
      <c r="J173" t="s">
        <v>10</v>
      </c>
      <c r="K173" s="1">
        <f>Table1[[#This Row],[patients_admitted]]/Table1[[#This Row],[available_beds]]*100</f>
        <v>66.666666666666657</v>
      </c>
      <c r="L173" s="1">
        <f>Table1[[#This Row],[patients_refused]]/Table1[[#This Row],[patients_request]]*100</f>
        <v>0</v>
      </c>
      <c r="M173" s="1">
        <f>Table1[[#This Row],[patients_request]]/Table1[[#This Row],[available_beds]]</f>
        <v>0.66666666666666663</v>
      </c>
    </row>
    <row r="174" spans="1:13" x14ac:dyDescent="0.3">
      <c r="A174">
        <v>44</v>
      </c>
      <c r="B174">
        <v>11</v>
      </c>
      <c r="C174" t="s">
        <v>16</v>
      </c>
      <c r="D174">
        <v>27</v>
      </c>
      <c r="E174">
        <v>138</v>
      </c>
      <c r="F174">
        <v>27</v>
      </c>
      <c r="G174">
        <v>111</v>
      </c>
      <c r="H174">
        <v>74</v>
      </c>
      <c r="I174">
        <v>60</v>
      </c>
      <c r="J174" t="s">
        <v>10</v>
      </c>
      <c r="K174" s="1">
        <f>Table1[[#This Row],[patients_admitted]]/Table1[[#This Row],[available_beds]]*100</f>
        <v>100</v>
      </c>
      <c r="L174" s="1">
        <f>Table1[[#This Row],[patients_refused]]/Table1[[#This Row],[patients_request]]*100</f>
        <v>80.434782608695656</v>
      </c>
      <c r="M174" s="1">
        <f>Table1[[#This Row],[patients_request]]/Table1[[#This Row],[available_beds]]</f>
        <v>5.1111111111111107</v>
      </c>
    </row>
    <row r="175" spans="1:13" x14ac:dyDescent="0.3">
      <c r="A175">
        <v>44</v>
      </c>
      <c r="B175">
        <v>11</v>
      </c>
      <c r="C175" t="s">
        <v>17</v>
      </c>
      <c r="D175">
        <v>45</v>
      </c>
      <c r="E175">
        <v>28</v>
      </c>
      <c r="F175">
        <v>28</v>
      </c>
      <c r="G175">
        <v>0</v>
      </c>
      <c r="H175">
        <v>65</v>
      </c>
      <c r="I175">
        <v>75</v>
      </c>
      <c r="J175" t="s">
        <v>10</v>
      </c>
      <c r="K175" s="1">
        <f>Table1[[#This Row],[patients_admitted]]/Table1[[#This Row],[available_beds]]*100</f>
        <v>62.222222222222221</v>
      </c>
      <c r="L175" s="1">
        <f>Table1[[#This Row],[patients_refused]]/Table1[[#This Row],[patients_request]]*100</f>
        <v>0</v>
      </c>
      <c r="M175" s="1">
        <f>Table1[[#This Row],[patients_request]]/Table1[[#This Row],[available_beds]]</f>
        <v>0.62222222222222223</v>
      </c>
    </row>
    <row r="176" spans="1:13" x14ac:dyDescent="0.3">
      <c r="A176">
        <v>44</v>
      </c>
      <c r="B176">
        <v>11</v>
      </c>
      <c r="C176" t="s">
        <v>15</v>
      </c>
      <c r="D176">
        <v>57</v>
      </c>
      <c r="E176">
        <v>70</v>
      </c>
      <c r="F176">
        <v>57</v>
      </c>
      <c r="G176">
        <v>13</v>
      </c>
      <c r="H176">
        <v>92</v>
      </c>
      <c r="I176">
        <v>69</v>
      </c>
      <c r="J176" t="s">
        <v>10</v>
      </c>
      <c r="K176" s="1">
        <f>Table1[[#This Row],[patients_admitted]]/Table1[[#This Row],[available_beds]]*100</f>
        <v>100</v>
      </c>
      <c r="L176" s="1">
        <f>Table1[[#This Row],[patients_refused]]/Table1[[#This Row],[patients_request]]*100</f>
        <v>18.571428571428573</v>
      </c>
      <c r="M176" s="1">
        <f>Table1[[#This Row],[patients_request]]/Table1[[#This Row],[available_beds]]</f>
        <v>1.2280701754385965</v>
      </c>
    </row>
    <row r="177" spans="1:13" x14ac:dyDescent="0.3">
      <c r="A177">
        <v>44</v>
      </c>
      <c r="B177">
        <v>11</v>
      </c>
      <c r="C177" t="s">
        <v>12</v>
      </c>
      <c r="D177">
        <v>12</v>
      </c>
      <c r="E177">
        <v>16</v>
      </c>
      <c r="F177">
        <v>12</v>
      </c>
      <c r="G177">
        <v>4</v>
      </c>
      <c r="H177">
        <v>73</v>
      </c>
      <c r="I177">
        <v>87</v>
      </c>
      <c r="J177" t="s">
        <v>10</v>
      </c>
      <c r="K177" s="1">
        <f>Table1[[#This Row],[patients_admitted]]/Table1[[#This Row],[available_beds]]*100</f>
        <v>100</v>
      </c>
      <c r="L177" s="1">
        <f>Table1[[#This Row],[patients_refused]]/Table1[[#This Row],[patients_request]]*100</f>
        <v>25</v>
      </c>
      <c r="M177" s="1">
        <f>Table1[[#This Row],[patients_request]]/Table1[[#This Row],[available_beds]]</f>
        <v>1.3333333333333333</v>
      </c>
    </row>
    <row r="178" spans="1:13" x14ac:dyDescent="0.3">
      <c r="A178">
        <v>45</v>
      </c>
      <c r="B178">
        <v>12</v>
      </c>
      <c r="C178" t="s">
        <v>16</v>
      </c>
      <c r="D178">
        <v>32</v>
      </c>
      <c r="E178">
        <v>193</v>
      </c>
      <c r="F178">
        <v>32</v>
      </c>
      <c r="G178">
        <v>161</v>
      </c>
      <c r="H178">
        <v>72</v>
      </c>
      <c r="I178">
        <v>92</v>
      </c>
      <c r="J178" t="s">
        <v>10</v>
      </c>
      <c r="K178" s="1">
        <f>Table1[[#This Row],[patients_admitted]]/Table1[[#This Row],[available_beds]]*100</f>
        <v>100</v>
      </c>
      <c r="L178" s="1">
        <f>Table1[[#This Row],[patients_refused]]/Table1[[#This Row],[patients_request]]*100</f>
        <v>83.419689119170982</v>
      </c>
      <c r="M178" s="1">
        <f>Table1[[#This Row],[patients_request]]/Table1[[#This Row],[available_beds]]</f>
        <v>6.03125</v>
      </c>
    </row>
    <row r="179" spans="1:13" x14ac:dyDescent="0.3">
      <c r="A179">
        <v>45</v>
      </c>
      <c r="B179">
        <v>12</v>
      </c>
      <c r="C179" t="s">
        <v>17</v>
      </c>
      <c r="D179">
        <v>32</v>
      </c>
      <c r="E179">
        <v>37</v>
      </c>
      <c r="F179">
        <v>32</v>
      </c>
      <c r="G179">
        <v>5</v>
      </c>
      <c r="H179">
        <v>64</v>
      </c>
      <c r="I179">
        <v>72</v>
      </c>
      <c r="J179" t="s">
        <v>10</v>
      </c>
      <c r="K179" s="1">
        <f>Table1[[#This Row],[patients_admitted]]/Table1[[#This Row],[available_beds]]*100</f>
        <v>100</v>
      </c>
      <c r="L179" s="1">
        <f>Table1[[#This Row],[patients_refused]]/Table1[[#This Row],[patients_request]]*100</f>
        <v>13.513513513513514</v>
      </c>
      <c r="M179" s="1">
        <f>Table1[[#This Row],[patients_request]]/Table1[[#This Row],[available_beds]]</f>
        <v>1.15625</v>
      </c>
    </row>
    <row r="180" spans="1:13" x14ac:dyDescent="0.3">
      <c r="A180">
        <v>45</v>
      </c>
      <c r="B180">
        <v>12</v>
      </c>
      <c r="C180" t="s">
        <v>15</v>
      </c>
      <c r="D180">
        <v>40</v>
      </c>
      <c r="E180">
        <v>67</v>
      </c>
      <c r="F180">
        <v>40</v>
      </c>
      <c r="G180">
        <v>27</v>
      </c>
      <c r="H180">
        <v>99</v>
      </c>
      <c r="I180">
        <v>51</v>
      </c>
      <c r="J180" t="s">
        <v>10</v>
      </c>
      <c r="K180" s="1">
        <f>Table1[[#This Row],[patients_admitted]]/Table1[[#This Row],[available_beds]]*100</f>
        <v>100</v>
      </c>
      <c r="L180" s="1">
        <f>Table1[[#This Row],[patients_refused]]/Table1[[#This Row],[patients_request]]*100</f>
        <v>40.298507462686565</v>
      </c>
      <c r="M180" s="1">
        <f>Table1[[#This Row],[patients_request]]/Table1[[#This Row],[available_beds]]</f>
        <v>1.675</v>
      </c>
    </row>
    <row r="181" spans="1:13" x14ac:dyDescent="0.3">
      <c r="A181">
        <v>45</v>
      </c>
      <c r="B181">
        <v>12</v>
      </c>
      <c r="C181" t="s">
        <v>12</v>
      </c>
      <c r="D181">
        <v>18</v>
      </c>
      <c r="E181">
        <v>42</v>
      </c>
      <c r="F181">
        <v>18</v>
      </c>
      <c r="G181">
        <v>24</v>
      </c>
      <c r="H181">
        <v>70</v>
      </c>
      <c r="I181">
        <v>54</v>
      </c>
      <c r="J181" t="s">
        <v>11</v>
      </c>
      <c r="K181" s="1">
        <f>Table1[[#This Row],[patients_admitted]]/Table1[[#This Row],[available_beds]]*100</f>
        <v>100</v>
      </c>
      <c r="L181" s="1">
        <f>Table1[[#This Row],[patients_refused]]/Table1[[#This Row],[patients_request]]*100</f>
        <v>57.142857142857139</v>
      </c>
      <c r="M181" s="1">
        <f>Table1[[#This Row],[patients_request]]/Table1[[#This Row],[available_beds]]</f>
        <v>2.3333333333333335</v>
      </c>
    </row>
    <row r="182" spans="1:13" x14ac:dyDescent="0.3">
      <c r="A182">
        <v>46</v>
      </c>
      <c r="B182">
        <v>12</v>
      </c>
      <c r="C182" t="s">
        <v>16</v>
      </c>
      <c r="D182">
        <v>36</v>
      </c>
      <c r="E182">
        <v>187</v>
      </c>
      <c r="F182">
        <v>36</v>
      </c>
      <c r="G182">
        <v>151</v>
      </c>
      <c r="H182">
        <v>64</v>
      </c>
      <c r="I182">
        <v>93</v>
      </c>
      <c r="J182" t="s">
        <v>10</v>
      </c>
      <c r="K182" s="1">
        <f>Table1[[#This Row],[patients_admitted]]/Table1[[#This Row],[available_beds]]*100</f>
        <v>100</v>
      </c>
      <c r="L182" s="1">
        <f>Table1[[#This Row],[patients_refused]]/Table1[[#This Row],[patients_request]]*100</f>
        <v>80.748663101604279</v>
      </c>
      <c r="M182" s="1">
        <f>Table1[[#This Row],[patients_request]]/Table1[[#This Row],[available_beds]]</f>
        <v>5.1944444444444446</v>
      </c>
    </row>
    <row r="183" spans="1:13" x14ac:dyDescent="0.3">
      <c r="A183">
        <v>46</v>
      </c>
      <c r="B183">
        <v>12</v>
      </c>
      <c r="C183" t="s">
        <v>17</v>
      </c>
      <c r="D183">
        <v>52</v>
      </c>
      <c r="E183">
        <v>39</v>
      </c>
      <c r="F183">
        <v>39</v>
      </c>
      <c r="G183">
        <v>0</v>
      </c>
      <c r="H183">
        <v>68</v>
      </c>
      <c r="I183">
        <v>83</v>
      </c>
      <c r="J183" t="s">
        <v>10</v>
      </c>
      <c r="K183" s="1">
        <f>Table1[[#This Row],[patients_admitted]]/Table1[[#This Row],[available_beds]]*100</f>
        <v>75</v>
      </c>
      <c r="L183" s="1">
        <f>Table1[[#This Row],[patients_refused]]/Table1[[#This Row],[patients_request]]*100</f>
        <v>0</v>
      </c>
      <c r="M183" s="1">
        <f>Table1[[#This Row],[patients_request]]/Table1[[#This Row],[available_beds]]</f>
        <v>0.75</v>
      </c>
    </row>
    <row r="184" spans="1:13" x14ac:dyDescent="0.3">
      <c r="A184">
        <v>46</v>
      </c>
      <c r="B184">
        <v>12</v>
      </c>
      <c r="C184" t="s">
        <v>15</v>
      </c>
      <c r="D184">
        <v>41</v>
      </c>
      <c r="E184">
        <v>29</v>
      </c>
      <c r="F184">
        <v>29</v>
      </c>
      <c r="G184">
        <v>0</v>
      </c>
      <c r="H184">
        <v>81</v>
      </c>
      <c r="I184">
        <v>58</v>
      </c>
      <c r="J184" t="s">
        <v>14</v>
      </c>
      <c r="K184" s="1">
        <f>Table1[[#This Row],[patients_admitted]]/Table1[[#This Row],[available_beds]]*100</f>
        <v>70.731707317073173</v>
      </c>
      <c r="L184" s="1">
        <f>Table1[[#This Row],[patients_refused]]/Table1[[#This Row],[patients_request]]*100</f>
        <v>0</v>
      </c>
      <c r="M184" s="1">
        <f>Table1[[#This Row],[patients_request]]/Table1[[#This Row],[available_beds]]</f>
        <v>0.70731707317073167</v>
      </c>
    </row>
    <row r="185" spans="1:13" x14ac:dyDescent="0.3">
      <c r="A185">
        <v>46</v>
      </c>
      <c r="B185">
        <v>12</v>
      </c>
      <c r="C185" t="s">
        <v>12</v>
      </c>
      <c r="D185">
        <v>23</v>
      </c>
      <c r="E185">
        <v>28</v>
      </c>
      <c r="F185">
        <v>23</v>
      </c>
      <c r="G185">
        <v>5</v>
      </c>
      <c r="H185">
        <v>89</v>
      </c>
      <c r="I185">
        <v>75</v>
      </c>
      <c r="J185" t="s">
        <v>11</v>
      </c>
      <c r="K185" s="1">
        <f>Table1[[#This Row],[patients_admitted]]/Table1[[#This Row],[available_beds]]*100</f>
        <v>100</v>
      </c>
      <c r="L185" s="1">
        <f>Table1[[#This Row],[patients_refused]]/Table1[[#This Row],[patients_request]]*100</f>
        <v>17.857142857142858</v>
      </c>
      <c r="M185" s="1">
        <f>Table1[[#This Row],[patients_request]]/Table1[[#This Row],[available_beds]]</f>
        <v>1.2173913043478262</v>
      </c>
    </row>
    <row r="186" spans="1:13" x14ac:dyDescent="0.3">
      <c r="A186">
        <v>47</v>
      </c>
      <c r="B186">
        <v>12</v>
      </c>
      <c r="C186" t="s">
        <v>16</v>
      </c>
      <c r="D186">
        <v>22</v>
      </c>
      <c r="E186">
        <v>91</v>
      </c>
      <c r="F186">
        <v>22</v>
      </c>
      <c r="G186">
        <v>69</v>
      </c>
      <c r="H186">
        <v>63</v>
      </c>
      <c r="I186">
        <v>54</v>
      </c>
      <c r="J186" t="s">
        <v>14</v>
      </c>
      <c r="K186" s="1">
        <f>Table1[[#This Row],[patients_admitted]]/Table1[[#This Row],[available_beds]]*100</f>
        <v>100</v>
      </c>
      <c r="L186" s="1">
        <f>Table1[[#This Row],[patients_refused]]/Table1[[#This Row],[patients_request]]*100</f>
        <v>75.824175824175825</v>
      </c>
      <c r="M186" s="1">
        <f>Table1[[#This Row],[patients_request]]/Table1[[#This Row],[available_beds]]</f>
        <v>4.1363636363636367</v>
      </c>
    </row>
    <row r="187" spans="1:13" x14ac:dyDescent="0.3">
      <c r="A187">
        <v>47</v>
      </c>
      <c r="B187">
        <v>12</v>
      </c>
      <c r="C187" t="s">
        <v>17</v>
      </c>
      <c r="D187">
        <v>57</v>
      </c>
      <c r="E187">
        <v>48</v>
      </c>
      <c r="F187">
        <v>48</v>
      </c>
      <c r="G187">
        <v>0</v>
      </c>
      <c r="H187">
        <v>99</v>
      </c>
      <c r="I187">
        <v>57</v>
      </c>
      <c r="J187" t="s">
        <v>10</v>
      </c>
      <c r="K187" s="1">
        <f>Table1[[#This Row],[patients_admitted]]/Table1[[#This Row],[available_beds]]*100</f>
        <v>84.210526315789465</v>
      </c>
      <c r="L187" s="1">
        <f>Table1[[#This Row],[patients_refused]]/Table1[[#This Row],[patients_request]]*100</f>
        <v>0</v>
      </c>
      <c r="M187" s="1">
        <f>Table1[[#This Row],[patients_request]]/Table1[[#This Row],[available_beds]]</f>
        <v>0.84210526315789469</v>
      </c>
    </row>
    <row r="188" spans="1:13" x14ac:dyDescent="0.3">
      <c r="A188">
        <v>47</v>
      </c>
      <c r="B188">
        <v>12</v>
      </c>
      <c r="C188" t="s">
        <v>15</v>
      </c>
      <c r="D188">
        <v>55</v>
      </c>
      <c r="E188">
        <v>92</v>
      </c>
      <c r="F188">
        <v>55</v>
      </c>
      <c r="G188">
        <v>37</v>
      </c>
      <c r="H188">
        <v>97</v>
      </c>
      <c r="I188">
        <v>82</v>
      </c>
      <c r="J188" t="s">
        <v>10</v>
      </c>
      <c r="K188" s="1">
        <f>Table1[[#This Row],[patients_admitted]]/Table1[[#This Row],[available_beds]]*100</f>
        <v>100</v>
      </c>
      <c r="L188" s="1">
        <f>Table1[[#This Row],[patients_refused]]/Table1[[#This Row],[patients_request]]*100</f>
        <v>40.217391304347828</v>
      </c>
      <c r="M188" s="1">
        <f>Table1[[#This Row],[patients_request]]/Table1[[#This Row],[available_beds]]</f>
        <v>1.6727272727272726</v>
      </c>
    </row>
    <row r="189" spans="1:13" x14ac:dyDescent="0.3">
      <c r="A189">
        <v>47</v>
      </c>
      <c r="B189">
        <v>12</v>
      </c>
      <c r="C189" t="s">
        <v>12</v>
      </c>
      <c r="D189">
        <v>13</v>
      </c>
      <c r="E189">
        <v>16</v>
      </c>
      <c r="F189">
        <v>13</v>
      </c>
      <c r="G189">
        <v>3</v>
      </c>
      <c r="H189">
        <v>76</v>
      </c>
      <c r="I189">
        <v>82</v>
      </c>
      <c r="J189" t="s">
        <v>10</v>
      </c>
      <c r="K189" s="1">
        <f>Table1[[#This Row],[patients_admitted]]/Table1[[#This Row],[available_beds]]*100</f>
        <v>100</v>
      </c>
      <c r="L189" s="1">
        <f>Table1[[#This Row],[patients_refused]]/Table1[[#This Row],[patients_request]]*100</f>
        <v>18.75</v>
      </c>
      <c r="M189" s="1">
        <f>Table1[[#This Row],[patients_request]]/Table1[[#This Row],[available_beds]]</f>
        <v>1.2307692307692308</v>
      </c>
    </row>
    <row r="190" spans="1:13" x14ac:dyDescent="0.3">
      <c r="A190">
        <v>48</v>
      </c>
      <c r="B190">
        <v>12</v>
      </c>
      <c r="C190" t="s">
        <v>16</v>
      </c>
      <c r="D190">
        <v>20</v>
      </c>
      <c r="E190">
        <v>165</v>
      </c>
      <c r="F190">
        <v>20</v>
      </c>
      <c r="G190">
        <v>145</v>
      </c>
      <c r="H190">
        <v>99</v>
      </c>
      <c r="I190">
        <v>89</v>
      </c>
      <c r="J190" t="s">
        <v>10</v>
      </c>
      <c r="K190" s="1">
        <f>Table1[[#This Row],[patients_admitted]]/Table1[[#This Row],[available_beds]]*100</f>
        <v>100</v>
      </c>
      <c r="L190" s="1">
        <f>Table1[[#This Row],[patients_refused]]/Table1[[#This Row],[patients_request]]*100</f>
        <v>87.878787878787875</v>
      </c>
      <c r="M190" s="1">
        <f>Table1[[#This Row],[patients_request]]/Table1[[#This Row],[available_beds]]</f>
        <v>8.25</v>
      </c>
    </row>
    <row r="191" spans="1:13" x14ac:dyDescent="0.3">
      <c r="A191">
        <v>48</v>
      </c>
      <c r="B191">
        <v>12</v>
      </c>
      <c r="C191" t="s">
        <v>17</v>
      </c>
      <c r="D191">
        <v>49</v>
      </c>
      <c r="E191">
        <v>32</v>
      </c>
      <c r="F191">
        <v>32</v>
      </c>
      <c r="G191">
        <v>0</v>
      </c>
      <c r="H191">
        <v>65</v>
      </c>
      <c r="I191">
        <v>52</v>
      </c>
      <c r="J191" t="s">
        <v>10</v>
      </c>
      <c r="K191" s="1">
        <f>Table1[[#This Row],[patients_admitted]]/Table1[[#This Row],[available_beds]]*100</f>
        <v>65.306122448979593</v>
      </c>
      <c r="L191" s="1">
        <f>Table1[[#This Row],[patients_refused]]/Table1[[#This Row],[patients_request]]*100</f>
        <v>0</v>
      </c>
      <c r="M191" s="1">
        <f>Table1[[#This Row],[patients_request]]/Table1[[#This Row],[available_beds]]</f>
        <v>0.65306122448979587</v>
      </c>
    </row>
    <row r="192" spans="1:13" x14ac:dyDescent="0.3">
      <c r="A192">
        <v>48</v>
      </c>
      <c r="B192">
        <v>12</v>
      </c>
      <c r="C192" t="s">
        <v>15</v>
      </c>
      <c r="D192">
        <v>48</v>
      </c>
      <c r="E192">
        <v>105</v>
      </c>
      <c r="F192">
        <v>48</v>
      </c>
      <c r="G192">
        <v>57</v>
      </c>
      <c r="H192">
        <v>74</v>
      </c>
      <c r="I192">
        <v>96</v>
      </c>
      <c r="J192" t="s">
        <v>10</v>
      </c>
      <c r="K192" s="1">
        <f>Table1[[#This Row],[patients_admitted]]/Table1[[#This Row],[available_beds]]*100</f>
        <v>100</v>
      </c>
      <c r="L192" s="1">
        <f>Table1[[#This Row],[patients_refused]]/Table1[[#This Row],[patients_request]]*100</f>
        <v>54.285714285714285</v>
      </c>
      <c r="M192" s="1">
        <f>Table1[[#This Row],[patients_request]]/Table1[[#This Row],[available_beds]]</f>
        <v>2.1875</v>
      </c>
    </row>
    <row r="193" spans="1:13" x14ac:dyDescent="0.3">
      <c r="A193">
        <v>48</v>
      </c>
      <c r="B193">
        <v>12</v>
      </c>
      <c r="C193" t="s">
        <v>12</v>
      </c>
      <c r="D193">
        <v>16</v>
      </c>
      <c r="E193">
        <v>23</v>
      </c>
      <c r="F193">
        <v>16</v>
      </c>
      <c r="G193">
        <v>7</v>
      </c>
      <c r="H193">
        <v>98</v>
      </c>
      <c r="I193">
        <v>76</v>
      </c>
      <c r="J193" t="s">
        <v>10</v>
      </c>
      <c r="K193" s="1">
        <f>Table1[[#This Row],[patients_admitted]]/Table1[[#This Row],[available_beds]]*100</f>
        <v>100</v>
      </c>
      <c r="L193" s="1">
        <f>Table1[[#This Row],[patients_refused]]/Table1[[#This Row],[patients_request]]*100</f>
        <v>30.434782608695656</v>
      </c>
      <c r="M193" s="1">
        <f>Table1[[#This Row],[patients_request]]/Table1[[#This Row],[available_beds]]</f>
        <v>1.4375</v>
      </c>
    </row>
    <row r="194" spans="1:13" x14ac:dyDescent="0.3">
      <c r="A194">
        <v>49</v>
      </c>
      <c r="B194">
        <v>12</v>
      </c>
      <c r="C194" t="s">
        <v>16</v>
      </c>
      <c r="D194">
        <v>26</v>
      </c>
      <c r="E194">
        <v>137</v>
      </c>
      <c r="F194">
        <v>26</v>
      </c>
      <c r="G194">
        <v>111</v>
      </c>
      <c r="H194">
        <v>92</v>
      </c>
      <c r="I194">
        <v>86</v>
      </c>
      <c r="J194" t="s">
        <v>10</v>
      </c>
      <c r="K194" s="1">
        <f>Table1[[#This Row],[patients_admitted]]/Table1[[#This Row],[available_beds]]*100</f>
        <v>100</v>
      </c>
      <c r="L194" s="1">
        <f>Table1[[#This Row],[patients_refused]]/Table1[[#This Row],[patients_request]]*100</f>
        <v>81.021897810218974</v>
      </c>
      <c r="M194" s="1">
        <f>Table1[[#This Row],[patients_request]]/Table1[[#This Row],[available_beds]]</f>
        <v>5.2692307692307692</v>
      </c>
    </row>
    <row r="195" spans="1:13" x14ac:dyDescent="0.3">
      <c r="A195">
        <v>49</v>
      </c>
      <c r="B195">
        <v>12</v>
      </c>
      <c r="C195" t="s">
        <v>17</v>
      </c>
      <c r="D195">
        <v>26</v>
      </c>
      <c r="E195">
        <v>29</v>
      </c>
      <c r="F195">
        <v>26</v>
      </c>
      <c r="G195">
        <v>3</v>
      </c>
      <c r="H195">
        <v>81</v>
      </c>
      <c r="I195">
        <v>51</v>
      </c>
      <c r="J195" t="s">
        <v>10</v>
      </c>
      <c r="K195" s="1">
        <f>Table1[[#This Row],[patients_admitted]]/Table1[[#This Row],[available_beds]]*100</f>
        <v>100</v>
      </c>
      <c r="L195" s="1">
        <f>Table1[[#This Row],[patients_refused]]/Table1[[#This Row],[patients_request]]*100</f>
        <v>10.344827586206897</v>
      </c>
      <c r="M195" s="1">
        <f>Table1[[#This Row],[patients_request]]/Table1[[#This Row],[available_beds]]</f>
        <v>1.1153846153846154</v>
      </c>
    </row>
    <row r="196" spans="1:13" x14ac:dyDescent="0.3">
      <c r="A196">
        <v>49</v>
      </c>
      <c r="B196">
        <v>12</v>
      </c>
      <c r="C196" t="s">
        <v>15</v>
      </c>
      <c r="D196">
        <v>72</v>
      </c>
      <c r="E196">
        <v>63</v>
      </c>
      <c r="F196">
        <v>63</v>
      </c>
      <c r="G196">
        <v>0</v>
      </c>
      <c r="H196">
        <v>92</v>
      </c>
      <c r="I196">
        <v>87</v>
      </c>
      <c r="J196" t="s">
        <v>10</v>
      </c>
      <c r="K196" s="1">
        <f>Table1[[#This Row],[patients_admitted]]/Table1[[#This Row],[available_beds]]*100</f>
        <v>87.5</v>
      </c>
      <c r="L196" s="1">
        <f>Table1[[#This Row],[patients_refused]]/Table1[[#This Row],[patients_request]]*100</f>
        <v>0</v>
      </c>
      <c r="M196" s="1">
        <f>Table1[[#This Row],[patients_request]]/Table1[[#This Row],[available_beds]]</f>
        <v>0.875</v>
      </c>
    </row>
    <row r="197" spans="1:13" x14ac:dyDescent="0.3">
      <c r="A197">
        <v>49</v>
      </c>
      <c r="B197">
        <v>12</v>
      </c>
      <c r="C197" t="s">
        <v>12</v>
      </c>
      <c r="D197">
        <v>16</v>
      </c>
      <c r="E197">
        <v>22</v>
      </c>
      <c r="F197">
        <v>16</v>
      </c>
      <c r="G197">
        <v>6</v>
      </c>
      <c r="H197">
        <v>83</v>
      </c>
      <c r="I197">
        <v>64</v>
      </c>
      <c r="J197" t="s">
        <v>10</v>
      </c>
      <c r="K197" s="1">
        <f>Table1[[#This Row],[patients_admitted]]/Table1[[#This Row],[available_beds]]*100</f>
        <v>100</v>
      </c>
      <c r="L197" s="1">
        <f>Table1[[#This Row],[patients_refused]]/Table1[[#This Row],[patients_request]]*100</f>
        <v>27.27272727272727</v>
      </c>
      <c r="M197" s="1">
        <f>Table1[[#This Row],[patients_request]]/Table1[[#This Row],[available_beds]]</f>
        <v>1.375</v>
      </c>
    </row>
    <row r="198" spans="1:13" x14ac:dyDescent="0.3">
      <c r="A198">
        <v>50</v>
      </c>
      <c r="B198">
        <v>12</v>
      </c>
      <c r="C198" t="s">
        <v>16</v>
      </c>
      <c r="D198">
        <v>24</v>
      </c>
      <c r="E198">
        <v>101</v>
      </c>
      <c r="F198">
        <v>24</v>
      </c>
      <c r="G198">
        <v>77</v>
      </c>
      <c r="H198">
        <v>63</v>
      </c>
      <c r="I198">
        <v>61</v>
      </c>
      <c r="J198" t="s">
        <v>10</v>
      </c>
      <c r="K198" s="1">
        <f>Table1[[#This Row],[patients_admitted]]/Table1[[#This Row],[available_beds]]*100</f>
        <v>100</v>
      </c>
      <c r="L198" s="1">
        <f>Table1[[#This Row],[patients_refused]]/Table1[[#This Row],[patients_request]]*100</f>
        <v>76.237623762376245</v>
      </c>
      <c r="M198" s="1">
        <f>Table1[[#This Row],[patients_request]]/Table1[[#This Row],[available_beds]]</f>
        <v>4.208333333333333</v>
      </c>
    </row>
    <row r="199" spans="1:13" x14ac:dyDescent="0.3">
      <c r="A199">
        <v>50</v>
      </c>
      <c r="B199">
        <v>12</v>
      </c>
      <c r="C199" t="s">
        <v>17</v>
      </c>
      <c r="D199">
        <v>59</v>
      </c>
      <c r="E199">
        <v>65</v>
      </c>
      <c r="F199">
        <v>59</v>
      </c>
      <c r="G199">
        <v>6</v>
      </c>
      <c r="H199">
        <v>95</v>
      </c>
      <c r="I199">
        <v>85</v>
      </c>
      <c r="J199" t="s">
        <v>10</v>
      </c>
      <c r="K199" s="1">
        <f>Table1[[#This Row],[patients_admitted]]/Table1[[#This Row],[available_beds]]*100</f>
        <v>100</v>
      </c>
      <c r="L199" s="1">
        <f>Table1[[#This Row],[patients_refused]]/Table1[[#This Row],[patients_request]]*100</f>
        <v>9.2307692307692317</v>
      </c>
      <c r="M199" s="1">
        <f>Table1[[#This Row],[patients_request]]/Table1[[#This Row],[available_beds]]</f>
        <v>1.1016949152542372</v>
      </c>
    </row>
    <row r="200" spans="1:13" x14ac:dyDescent="0.3">
      <c r="A200">
        <v>50</v>
      </c>
      <c r="B200">
        <v>12</v>
      </c>
      <c r="C200" t="s">
        <v>15</v>
      </c>
      <c r="D200">
        <v>72</v>
      </c>
      <c r="E200">
        <v>57</v>
      </c>
      <c r="F200">
        <v>57</v>
      </c>
      <c r="G200">
        <v>0</v>
      </c>
      <c r="H200">
        <v>79</v>
      </c>
      <c r="I200">
        <v>60</v>
      </c>
      <c r="J200" t="s">
        <v>10</v>
      </c>
      <c r="K200" s="1">
        <f>Table1[[#This Row],[patients_admitted]]/Table1[[#This Row],[available_beds]]*100</f>
        <v>79.166666666666657</v>
      </c>
      <c r="L200" s="1">
        <f>Table1[[#This Row],[patients_refused]]/Table1[[#This Row],[patients_request]]*100</f>
        <v>0</v>
      </c>
      <c r="M200" s="1">
        <f>Table1[[#This Row],[patients_request]]/Table1[[#This Row],[available_beds]]</f>
        <v>0.79166666666666663</v>
      </c>
    </row>
    <row r="201" spans="1:13" x14ac:dyDescent="0.3">
      <c r="A201">
        <v>50</v>
      </c>
      <c r="B201">
        <v>12</v>
      </c>
      <c r="C201" t="s">
        <v>12</v>
      </c>
      <c r="D201">
        <v>22</v>
      </c>
      <c r="E201">
        <v>13</v>
      </c>
      <c r="F201">
        <v>13</v>
      </c>
      <c r="G201">
        <v>0</v>
      </c>
      <c r="H201">
        <v>65</v>
      </c>
      <c r="I201">
        <v>57</v>
      </c>
      <c r="J201" t="s">
        <v>10</v>
      </c>
      <c r="K201" s="1">
        <f>Table1[[#This Row],[patients_admitted]]/Table1[[#This Row],[available_beds]]*100</f>
        <v>59.090909090909093</v>
      </c>
      <c r="L201" s="1">
        <f>Table1[[#This Row],[patients_refused]]/Table1[[#This Row],[patients_request]]*100</f>
        <v>0</v>
      </c>
      <c r="M201" s="1">
        <f>Table1[[#This Row],[patients_request]]/Table1[[#This Row],[available_beds]]</f>
        <v>0.59090909090909094</v>
      </c>
    </row>
    <row r="202" spans="1:13" x14ac:dyDescent="0.3">
      <c r="A202">
        <v>51</v>
      </c>
      <c r="B202">
        <v>12</v>
      </c>
      <c r="C202" t="s">
        <v>16</v>
      </c>
      <c r="D202">
        <v>31</v>
      </c>
      <c r="E202">
        <v>123</v>
      </c>
      <c r="F202">
        <v>31</v>
      </c>
      <c r="G202">
        <v>92</v>
      </c>
      <c r="H202">
        <v>71</v>
      </c>
      <c r="I202">
        <v>75</v>
      </c>
      <c r="J202" t="s">
        <v>10</v>
      </c>
      <c r="K202" s="1">
        <f>Table1[[#This Row],[patients_admitted]]/Table1[[#This Row],[available_beds]]*100</f>
        <v>100</v>
      </c>
      <c r="L202" s="1">
        <f>Table1[[#This Row],[patients_refused]]/Table1[[#This Row],[patients_request]]*100</f>
        <v>74.796747967479675</v>
      </c>
      <c r="M202" s="1">
        <f>Table1[[#This Row],[patients_request]]/Table1[[#This Row],[available_beds]]</f>
        <v>3.967741935483871</v>
      </c>
    </row>
    <row r="203" spans="1:13" x14ac:dyDescent="0.3">
      <c r="A203">
        <v>51</v>
      </c>
      <c r="B203">
        <v>12</v>
      </c>
      <c r="C203" t="s">
        <v>17</v>
      </c>
      <c r="D203">
        <v>63</v>
      </c>
      <c r="E203">
        <v>48</v>
      </c>
      <c r="F203">
        <v>48</v>
      </c>
      <c r="G203">
        <v>0</v>
      </c>
      <c r="H203">
        <v>84</v>
      </c>
      <c r="I203">
        <v>82</v>
      </c>
      <c r="J203" t="s">
        <v>10</v>
      </c>
      <c r="K203" s="1">
        <f>Table1[[#This Row],[patients_admitted]]/Table1[[#This Row],[available_beds]]*100</f>
        <v>76.19047619047619</v>
      </c>
      <c r="L203" s="1">
        <f>Table1[[#This Row],[patients_refused]]/Table1[[#This Row],[patients_request]]*100</f>
        <v>0</v>
      </c>
      <c r="M203" s="1">
        <f>Table1[[#This Row],[patients_request]]/Table1[[#This Row],[available_beds]]</f>
        <v>0.76190476190476186</v>
      </c>
    </row>
    <row r="204" spans="1:13" x14ac:dyDescent="0.3">
      <c r="A204">
        <v>51</v>
      </c>
      <c r="B204">
        <v>12</v>
      </c>
      <c r="C204" t="s">
        <v>15</v>
      </c>
      <c r="D204">
        <v>74</v>
      </c>
      <c r="E204">
        <v>285</v>
      </c>
      <c r="F204">
        <v>74</v>
      </c>
      <c r="G204">
        <v>211</v>
      </c>
      <c r="H204">
        <v>95</v>
      </c>
      <c r="I204">
        <v>89</v>
      </c>
      <c r="J204" t="s">
        <v>11</v>
      </c>
      <c r="K204" s="1">
        <f>Table1[[#This Row],[patients_admitted]]/Table1[[#This Row],[available_beds]]*100</f>
        <v>100</v>
      </c>
      <c r="L204" s="1">
        <f>Table1[[#This Row],[patients_refused]]/Table1[[#This Row],[patients_request]]*100</f>
        <v>74.035087719298247</v>
      </c>
      <c r="M204" s="1">
        <f>Table1[[#This Row],[patients_request]]/Table1[[#This Row],[available_beds]]</f>
        <v>3.8513513513513513</v>
      </c>
    </row>
    <row r="205" spans="1:13" x14ac:dyDescent="0.3">
      <c r="A205">
        <v>51</v>
      </c>
      <c r="B205">
        <v>12</v>
      </c>
      <c r="C205" t="s">
        <v>12</v>
      </c>
      <c r="D205">
        <v>18</v>
      </c>
      <c r="E205">
        <v>15</v>
      </c>
      <c r="F205">
        <v>15</v>
      </c>
      <c r="G205">
        <v>0</v>
      </c>
      <c r="H205">
        <v>87</v>
      </c>
      <c r="I205">
        <v>80</v>
      </c>
      <c r="J205" t="s">
        <v>10</v>
      </c>
      <c r="K205" s="1">
        <f>Table1[[#This Row],[patients_admitted]]/Table1[[#This Row],[available_beds]]*100</f>
        <v>83.333333333333343</v>
      </c>
      <c r="L205" s="1">
        <f>Table1[[#This Row],[patients_refused]]/Table1[[#This Row],[patients_request]]*100</f>
        <v>0</v>
      </c>
      <c r="M205" s="1">
        <f>Table1[[#This Row],[patients_request]]/Table1[[#This Row],[available_beds]]</f>
        <v>0.83333333333333337</v>
      </c>
    </row>
    <row r="206" spans="1:13" x14ac:dyDescent="0.3">
      <c r="A206">
        <v>52</v>
      </c>
      <c r="B206">
        <v>12</v>
      </c>
      <c r="C206" t="s">
        <v>16</v>
      </c>
      <c r="D206">
        <v>26</v>
      </c>
      <c r="E206">
        <v>130</v>
      </c>
      <c r="F206">
        <v>26</v>
      </c>
      <c r="G206">
        <v>104</v>
      </c>
      <c r="H206">
        <v>88</v>
      </c>
      <c r="I206">
        <v>63</v>
      </c>
      <c r="J206" t="s">
        <v>10</v>
      </c>
      <c r="K206" s="1">
        <f>Table1[[#This Row],[patients_admitted]]/Table1[[#This Row],[available_beds]]*100</f>
        <v>100</v>
      </c>
      <c r="L206" s="1">
        <f>Table1[[#This Row],[patients_refused]]/Table1[[#This Row],[patients_request]]*100</f>
        <v>80</v>
      </c>
      <c r="M206" s="1">
        <f>Table1[[#This Row],[patients_request]]/Table1[[#This Row],[available_beds]]</f>
        <v>5</v>
      </c>
    </row>
    <row r="207" spans="1:13" x14ac:dyDescent="0.3">
      <c r="A207">
        <v>52</v>
      </c>
      <c r="B207">
        <v>12</v>
      </c>
      <c r="C207" t="s">
        <v>17</v>
      </c>
      <c r="D207">
        <v>53</v>
      </c>
      <c r="E207">
        <v>39</v>
      </c>
      <c r="F207">
        <v>39</v>
      </c>
      <c r="G207">
        <v>0</v>
      </c>
      <c r="H207">
        <v>82</v>
      </c>
      <c r="I207">
        <v>50</v>
      </c>
      <c r="J207" t="s">
        <v>10</v>
      </c>
      <c r="K207" s="1">
        <f>Table1[[#This Row],[patients_admitted]]/Table1[[#This Row],[available_beds]]*100</f>
        <v>73.584905660377359</v>
      </c>
      <c r="L207" s="1">
        <f>Table1[[#This Row],[patients_refused]]/Table1[[#This Row],[patients_request]]*100</f>
        <v>0</v>
      </c>
      <c r="M207" s="1">
        <f>Table1[[#This Row],[patients_request]]/Table1[[#This Row],[available_beds]]</f>
        <v>0.73584905660377353</v>
      </c>
    </row>
    <row r="208" spans="1:13" x14ac:dyDescent="0.3">
      <c r="A208">
        <v>52</v>
      </c>
      <c r="B208">
        <v>12</v>
      </c>
      <c r="C208" t="s">
        <v>15</v>
      </c>
      <c r="D208">
        <v>65</v>
      </c>
      <c r="E208">
        <v>225</v>
      </c>
      <c r="F208">
        <v>65</v>
      </c>
      <c r="G208">
        <v>160</v>
      </c>
      <c r="H208">
        <v>82</v>
      </c>
      <c r="I208">
        <v>40</v>
      </c>
      <c r="J208" t="s">
        <v>11</v>
      </c>
      <c r="K208" s="1">
        <f>Table1[[#This Row],[patients_admitted]]/Table1[[#This Row],[available_beds]]*100</f>
        <v>100</v>
      </c>
      <c r="L208" s="1">
        <f>Table1[[#This Row],[patients_refused]]/Table1[[#This Row],[patients_request]]*100</f>
        <v>71.111111111111114</v>
      </c>
      <c r="M208" s="1">
        <f>Table1[[#This Row],[patients_request]]/Table1[[#This Row],[available_beds]]</f>
        <v>3.4615384615384617</v>
      </c>
    </row>
    <row r="209" spans="1:13" x14ac:dyDescent="0.3">
      <c r="A209">
        <v>52</v>
      </c>
      <c r="B209">
        <v>12</v>
      </c>
      <c r="C209" t="s">
        <v>12</v>
      </c>
      <c r="D209">
        <v>22</v>
      </c>
      <c r="E209">
        <v>24</v>
      </c>
      <c r="F209">
        <v>22</v>
      </c>
      <c r="G209">
        <v>2</v>
      </c>
      <c r="H209">
        <v>80</v>
      </c>
      <c r="I209">
        <v>96</v>
      </c>
      <c r="J209" t="s">
        <v>10</v>
      </c>
      <c r="K209" s="1">
        <f>Table1[[#This Row],[patients_admitted]]/Table1[[#This Row],[available_beds]]*100</f>
        <v>100</v>
      </c>
      <c r="L209" s="1">
        <f>Table1[[#This Row],[patients_refused]]/Table1[[#This Row],[patients_request]]*100</f>
        <v>8.3333333333333321</v>
      </c>
      <c r="M209" s="1">
        <f>Table1[[#This Row],[patients_request]]/Table1[[#This Row],[available_beds]]</f>
        <v>1.0909090909090908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2026-02-06T13:05:27Z</dcterms:created>
  <dcterms:modified xsi:type="dcterms:W3CDTF">2026-02-07T15:57:11Z</dcterms:modified>
</cp:coreProperties>
</file>